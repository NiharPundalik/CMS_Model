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Nihar\FM\CMS\"/>
    </mc:Choice>
  </mc:AlternateContent>
  <xr:revisionPtr revIDLastSave="0" documentId="13_ncr:1_{882EAD3C-584B-4B81-8680-CFAA309FE2D4}" xr6:coauthVersionLast="47" xr6:coauthVersionMax="47" xr10:uidLastSave="{00000000-0000-0000-0000-000000000000}"/>
  <bookViews>
    <workbookView xWindow="0" yWindow="300" windowWidth="20730" windowHeight="11160" xr2:uid="{625FB31E-93E4-4686-B04D-449FA1DC1487}"/>
  </bookViews>
  <sheets>
    <sheet name="Balance Sheet" sheetId="2" r:id="rId1"/>
    <sheet name="Income Statement " sheetId="3" r:id="rId2"/>
    <sheet name="Cash Flows" sheetId="4" r:id="rId3"/>
    <sheet name="Notes" sheetId="11" r:id="rId4"/>
    <sheet name="Ratios" sheetId="7" r:id="rId5"/>
    <sheet name="Key Indicator" sheetId="10" r:id="rId6"/>
    <sheet name="Revenue Forecasting " sheetId="5" r:id="rId7"/>
    <sheet name="Beta" sheetId="12" r:id="rId8"/>
    <sheet name="DCF " sheetId="13" r:id="rId9"/>
    <sheet name="Flags" sheetId="9" state="hidden" r:id="rId10"/>
  </sheets>
  <definedNames>
    <definedName name="_?frequency_1mo_period1_1614793098_period2_1772559485" localSheetId="7">Beta!$A$1:$B$62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0" l="1"/>
  <c r="M67" i="7"/>
  <c r="L67" i="7"/>
  <c r="K67" i="7"/>
  <c r="J67" i="7"/>
  <c r="I67" i="7"/>
  <c r="M51" i="7"/>
  <c r="L51" i="7"/>
  <c r="K51" i="7"/>
  <c r="J51" i="7"/>
  <c r="I51" i="7"/>
  <c r="M49" i="7"/>
  <c r="L49" i="7"/>
  <c r="K49" i="7"/>
  <c r="J49" i="7"/>
  <c r="I49" i="7"/>
  <c r="M47" i="7"/>
  <c r="L47" i="7"/>
  <c r="K47" i="7"/>
  <c r="J47" i="7"/>
  <c r="I47" i="7"/>
  <c r="M43" i="7"/>
  <c r="L43" i="7"/>
  <c r="K43" i="7"/>
  <c r="J43" i="7"/>
  <c r="I43" i="7"/>
  <c r="M65" i="7"/>
  <c r="L65" i="7"/>
  <c r="K65" i="7"/>
  <c r="J65" i="7"/>
  <c r="I65" i="7"/>
  <c r="M27" i="7"/>
  <c r="L27" i="7"/>
  <c r="K27" i="7"/>
  <c r="J27" i="7"/>
  <c r="I27" i="7"/>
  <c r="M26" i="7"/>
  <c r="L26" i="7"/>
  <c r="K26" i="7"/>
  <c r="J26" i="7"/>
  <c r="I26" i="7"/>
  <c r="H2" i="2"/>
  <c r="I2" i="2" s="1"/>
  <c r="J2" i="2" s="1"/>
  <c r="K2" i="2" s="1"/>
  <c r="L2" i="2" s="1"/>
  <c r="L52" i="2"/>
  <c r="L54" i="2"/>
  <c r="K54" i="2"/>
  <c r="K52" i="2"/>
  <c r="J52" i="2"/>
  <c r="J54" i="2"/>
  <c r="H17" i="2"/>
  <c r="J43" i="2"/>
  <c r="I54" i="2"/>
  <c r="H54" i="2"/>
  <c r="H43" i="2"/>
  <c r="H53" i="2"/>
  <c r="U7" i="11"/>
  <c r="T7" i="11"/>
  <c r="S7" i="11"/>
  <c r="R7" i="11"/>
  <c r="Q7" i="11"/>
  <c r="P7" i="11"/>
  <c r="O7" i="11"/>
  <c r="N7" i="11"/>
  <c r="U6" i="11"/>
  <c r="T6" i="11"/>
  <c r="S6" i="11"/>
  <c r="R6" i="11"/>
  <c r="Q6" i="11"/>
  <c r="P6" i="11"/>
  <c r="O6" i="11"/>
  <c r="O8" i="11" s="1"/>
  <c r="P4" i="11" s="1"/>
  <c r="P8" i="11" s="1"/>
  <c r="Q4" i="11" s="1"/>
  <c r="Q8" i="11" s="1"/>
  <c r="R4" i="11" s="1"/>
  <c r="R8" i="11" s="1"/>
  <c r="S4" i="11" s="1"/>
  <c r="S8" i="11" s="1"/>
  <c r="T4" i="11" s="1"/>
  <c r="T8" i="11" s="1"/>
  <c r="U4" i="11" s="1"/>
  <c r="U8" i="11" s="1"/>
  <c r="N6" i="11"/>
  <c r="N8" i="11" s="1"/>
  <c r="Q3" i="11"/>
  <c r="R3" i="11" s="1"/>
  <c r="S3" i="11" s="1"/>
  <c r="T3" i="11" s="1"/>
  <c r="U3" i="11" s="1"/>
  <c r="K40" i="4"/>
  <c r="J40" i="4"/>
  <c r="I40" i="4"/>
  <c r="H40" i="4"/>
  <c r="G40" i="4"/>
  <c r="B3" i="13" s="1"/>
  <c r="D3" i="13"/>
  <c r="C3" i="13"/>
  <c r="F3" i="13"/>
  <c r="E3" i="13"/>
  <c r="H22" i="2"/>
  <c r="H10" i="7"/>
  <c r="G10" i="7"/>
  <c r="F10" i="7"/>
  <c r="H8" i="7"/>
  <c r="E10" i="7"/>
  <c r="D10" i="7"/>
  <c r="F70" i="11"/>
  <c r="E70" i="11"/>
  <c r="D70" i="11"/>
  <c r="C70" i="11"/>
  <c r="E52" i="3"/>
  <c r="D52" i="3"/>
  <c r="C52" i="3"/>
  <c r="B52" i="3"/>
  <c r="F52" i="3"/>
  <c r="E16" i="3"/>
  <c r="D16" i="3"/>
  <c r="C16" i="3"/>
  <c r="B16" i="3"/>
  <c r="F16" i="3"/>
  <c r="G47" i="11"/>
  <c r="H47" i="11" s="1"/>
  <c r="H41" i="4"/>
  <c r="I41" i="4" s="1"/>
  <c r="G77" i="3"/>
  <c r="H77" i="3" s="1"/>
  <c r="G7" i="11"/>
  <c r="H7" i="11" s="1"/>
  <c r="G14" i="11"/>
  <c r="H14" i="11" s="1"/>
  <c r="R4" i="13"/>
  <c r="J5" i="13"/>
  <c r="M8" i="12"/>
  <c r="M7" i="12"/>
  <c r="M3" i="12"/>
  <c r="S3" i="12"/>
  <c r="R3" i="12"/>
  <c r="Q3" i="12"/>
  <c r="P3" i="12"/>
  <c r="O3" i="12"/>
  <c r="J4" i="12"/>
  <c r="J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53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P4" i="13"/>
  <c r="M4" i="13" s="1"/>
  <c r="L16" i="5"/>
  <c r="K16" i="5"/>
  <c r="J16" i="5"/>
  <c r="I16" i="5"/>
  <c r="H16" i="5"/>
  <c r="P2" i="12"/>
  <c r="Q2" i="12" s="1"/>
  <c r="R2" i="12" s="1"/>
  <c r="S2" i="12" s="1"/>
  <c r="H13" i="2"/>
  <c r="R6" i="13"/>
  <c r="C1" i="13"/>
  <c r="D1" i="13" s="1"/>
  <c r="E1" i="13" s="1"/>
  <c r="F1" i="13" s="1"/>
  <c r="G75" i="3"/>
  <c r="F76" i="3"/>
  <c r="F78" i="3" s="1"/>
  <c r="G14" i="10" s="1"/>
  <c r="E76" i="3"/>
  <c r="E78" i="3" s="1"/>
  <c r="D76" i="3"/>
  <c r="D78" i="3" s="1"/>
  <c r="E14" i="10" s="1"/>
  <c r="C76" i="3"/>
  <c r="C78" i="3" s="1"/>
  <c r="D14" i="10" s="1"/>
  <c r="B76" i="3"/>
  <c r="B78" i="3"/>
  <c r="L288" i="10"/>
  <c r="K288" i="10"/>
  <c r="L43" i="2" s="1"/>
  <c r="J288" i="10"/>
  <c r="K43" i="2" s="1"/>
  <c r="I288" i="10"/>
  <c r="H288" i="10"/>
  <c r="I43" i="2" s="1"/>
  <c r="F293" i="10"/>
  <c r="F294" i="10" s="1"/>
  <c r="E293" i="10"/>
  <c r="E294" i="10" s="1"/>
  <c r="D293" i="10"/>
  <c r="D294" i="10" s="1"/>
  <c r="C293" i="10"/>
  <c r="C294" i="10" s="1"/>
  <c r="F288" i="10"/>
  <c r="F298" i="10" s="1"/>
  <c r="E288" i="10"/>
  <c r="E298" i="10" s="1"/>
  <c r="D288" i="10"/>
  <c r="D298" i="10" s="1"/>
  <c r="C288" i="10"/>
  <c r="G288" i="10"/>
  <c r="G278" i="10"/>
  <c r="G293" i="10" s="1"/>
  <c r="G294" i="10" s="1"/>
  <c r="G282" i="10"/>
  <c r="F282" i="10"/>
  <c r="E282" i="10"/>
  <c r="D282" i="10"/>
  <c r="F271" i="10"/>
  <c r="E271" i="10"/>
  <c r="K46" i="4"/>
  <c r="J46" i="4"/>
  <c r="I46" i="4"/>
  <c r="H46" i="4"/>
  <c r="G46" i="4"/>
  <c r="K55" i="3"/>
  <c r="J55" i="3"/>
  <c r="I55" i="3"/>
  <c r="H55" i="3"/>
  <c r="G55" i="3"/>
  <c r="K14" i="4"/>
  <c r="J14" i="4"/>
  <c r="I14" i="4"/>
  <c r="H14" i="4"/>
  <c r="G14" i="4"/>
  <c r="G247" i="10"/>
  <c r="F247" i="10"/>
  <c r="E247" i="10"/>
  <c r="C247" i="10"/>
  <c r="D247" i="10"/>
  <c r="G266" i="10"/>
  <c r="F266" i="10"/>
  <c r="E266" i="10"/>
  <c r="D266" i="10"/>
  <c r="C266" i="10"/>
  <c r="C272" i="10"/>
  <c r="K32" i="4"/>
  <c r="K62" i="3"/>
  <c r="K20" i="4" s="1"/>
  <c r="J62" i="3"/>
  <c r="J20" i="4" s="1"/>
  <c r="I62" i="3"/>
  <c r="I20" i="4" s="1"/>
  <c r="H62" i="3"/>
  <c r="H20" i="4" s="1"/>
  <c r="G62" i="3"/>
  <c r="G20" i="4" s="1"/>
  <c r="G3" i="5"/>
  <c r="H10" i="5"/>
  <c r="H4" i="5"/>
  <c r="H7" i="5"/>
  <c r="G4" i="3"/>
  <c r="H22" i="5"/>
  <c r="J19" i="5"/>
  <c r="K19" i="5" s="1"/>
  <c r="L19" i="5" s="1"/>
  <c r="I19" i="5"/>
  <c r="I13" i="5"/>
  <c r="J13" i="5" s="1"/>
  <c r="K13" i="5" s="1"/>
  <c r="L13" i="5" s="1"/>
  <c r="H13" i="5"/>
  <c r="H19" i="5"/>
  <c r="G20" i="5"/>
  <c r="F20" i="5"/>
  <c r="E20" i="5"/>
  <c r="D20" i="5"/>
  <c r="C20" i="5"/>
  <c r="G17" i="5"/>
  <c r="F17" i="5"/>
  <c r="E17" i="5"/>
  <c r="D17" i="5"/>
  <c r="C17" i="5"/>
  <c r="G11" i="5"/>
  <c r="F11" i="5"/>
  <c r="E11" i="5"/>
  <c r="D11" i="5"/>
  <c r="C11" i="5"/>
  <c r="G8" i="5"/>
  <c r="F8" i="5"/>
  <c r="E8" i="5"/>
  <c r="D8" i="5"/>
  <c r="C8" i="5"/>
  <c r="C5" i="5"/>
  <c r="B13" i="5"/>
  <c r="B22" i="5" s="1"/>
  <c r="G13" i="5"/>
  <c r="F13" i="5"/>
  <c r="E13" i="5"/>
  <c r="D13" i="5"/>
  <c r="C13" i="5"/>
  <c r="F5" i="5"/>
  <c r="E5" i="5"/>
  <c r="D5" i="5"/>
  <c r="G5" i="5"/>
  <c r="L42" i="2"/>
  <c r="K42" i="2"/>
  <c r="J42" i="2"/>
  <c r="I42" i="2"/>
  <c r="H42" i="2"/>
  <c r="G75" i="11"/>
  <c r="F77" i="11"/>
  <c r="E77" i="11"/>
  <c r="D77" i="11"/>
  <c r="B77" i="11"/>
  <c r="F65" i="11"/>
  <c r="E65" i="11"/>
  <c r="D65" i="11"/>
  <c r="C65" i="11"/>
  <c r="B65" i="11"/>
  <c r="C76" i="11"/>
  <c r="C77" i="11" s="1"/>
  <c r="F63" i="11"/>
  <c r="E63" i="11"/>
  <c r="D63" i="11"/>
  <c r="C63" i="11"/>
  <c r="B63" i="11"/>
  <c r="C68" i="11" s="1"/>
  <c r="C1" i="11"/>
  <c r="D1" i="11" s="1"/>
  <c r="E1" i="11" s="1"/>
  <c r="F1" i="11" s="1"/>
  <c r="G1" i="11" s="1"/>
  <c r="H1" i="11" s="1"/>
  <c r="I1" i="11" s="1"/>
  <c r="J1" i="11" s="1"/>
  <c r="K1" i="11" s="1"/>
  <c r="B59" i="11"/>
  <c r="B60" i="11" s="1"/>
  <c r="B55" i="11"/>
  <c r="C52" i="11" s="1"/>
  <c r="C55" i="11" s="1"/>
  <c r="D52" i="11" s="1"/>
  <c r="D55" i="11" s="1"/>
  <c r="E52" i="11" s="1"/>
  <c r="E55" i="11" s="1"/>
  <c r="F52" i="11" s="1"/>
  <c r="F55" i="11" s="1"/>
  <c r="G52" i="11" s="1"/>
  <c r="B48" i="11"/>
  <c r="B39" i="11"/>
  <c r="B40" i="11" s="1"/>
  <c r="C33" i="11"/>
  <c r="B35" i="11"/>
  <c r="C32" i="11" s="1"/>
  <c r="C35" i="11" s="1"/>
  <c r="D32" i="11" s="1"/>
  <c r="D35" i="11" s="1"/>
  <c r="E32" i="11" s="1"/>
  <c r="E35" i="11" s="1"/>
  <c r="F32" i="11" s="1"/>
  <c r="F35" i="11" s="1"/>
  <c r="G32" i="11" s="1"/>
  <c r="C26" i="11"/>
  <c r="B28" i="11"/>
  <c r="B19" i="11"/>
  <c r="B20" i="11" s="1"/>
  <c r="D13" i="11"/>
  <c r="C13" i="11"/>
  <c r="B15" i="11"/>
  <c r="C12" i="11" s="1"/>
  <c r="C15" i="11" s="1"/>
  <c r="D12" i="11" s="1"/>
  <c r="D15" i="11" s="1"/>
  <c r="E12" i="11" s="1"/>
  <c r="E15" i="11" s="1"/>
  <c r="F12" i="11" s="1"/>
  <c r="F15" i="11" s="1"/>
  <c r="G12" i="11" s="1"/>
  <c r="C6" i="11"/>
  <c r="B8" i="11"/>
  <c r="N187" i="10"/>
  <c r="N188" i="10"/>
  <c r="N189" i="10"/>
  <c r="G176" i="10"/>
  <c r="F176" i="10"/>
  <c r="E176" i="10"/>
  <c r="D176" i="10"/>
  <c r="C176" i="10"/>
  <c r="G244" i="10"/>
  <c r="F244" i="10"/>
  <c r="E244" i="10"/>
  <c r="D244" i="10"/>
  <c r="C244" i="10"/>
  <c r="G230" i="10"/>
  <c r="F230" i="10"/>
  <c r="E230" i="10"/>
  <c r="D230" i="10"/>
  <c r="C230" i="10"/>
  <c r="C210" i="10"/>
  <c r="C212" i="10" s="1"/>
  <c r="D210" i="10"/>
  <c r="D212" i="10" s="1"/>
  <c r="E210" i="10"/>
  <c r="E212" i="10" s="1"/>
  <c r="F210" i="10"/>
  <c r="F212" i="10" s="1"/>
  <c r="G210" i="10"/>
  <c r="G212" i="10" s="1"/>
  <c r="G178" i="10"/>
  <c r="F178" i="10"/>
  <c r="E178" i="10"/>
  <c r="D178" i="10"/>
  <c r="C178" i="10"/>
  <c r="G142" i="10"/>
  <c r="F142" i="10"/>
  <c r="E142" i="10"/>
  <c r="D142" i="10"/>
  <c r="C142" i="10"/>
  <c r="G138" i="10"/>
  <c r="F138" i="10"/>
  <c r="E138" i="10"/>
  <c r="D138" i="10"/>
  <c r="C138" i="10"/>
  <c r="G104" i="10"/>
  <c r="F104" i="10"/>
  <c r="E104" i="10"/>
  <c r="D104" i="10"/>
  <c r="C104" i="10"/>
  <c r="R97" i="10"/>
  <c r="R96" i="10"/>
  <c r="R95" i="10"/>
  <c r="R94" i="10"/>
  <c r="R93" i="10"/>
  <c r="R92" i="10"/>
  <c r="R91" i="10"/>
  <c r="R90" i="10"/>
  <c r="Q97" i="10"/>
  <c r="Q96" i="10"/>
  <c r="Q95" i="10"/>
  <c r="Q94" i="10"/>
  <c r="Q93" i="10"/>
  <c r="Q92" i="10"/>
  <c r="Q91" i="10"/>
  <c r="Q90" i="10"/>
  <c r="G100" i="10"/>
  <c r="F100" i="10"/>
  <c r="E100" i="10"/>
  <c r="D100" i="10"/>
  <c r="C100" i="10"/>
  <c r="L83" i="10"/>
  <c r="J83" i="10"/>
  <c r="S83" i="10"/>
  <c r="R83" i="10"/>
  <c r="Q83" i="10"/>
  <c r="P83" i="10"/>
  <c r="O83" i="10"/>
  <c r="N83" i="10"/>
  <c r="J82" i="10"/>
  <c r="S82" i="10"/>
  <c r="R82" i="10"/>
  <c r="Q82" i="10"/>
  <c r="P82" i="10"/>
  <c r="N82" i="10"/>
  <c r="S81" i="10"/>
  <c r="R81" i="10"/>
  <c r="P81" i="10"/>
  <c r="N81" i="10"/>
  <c r="R80" i="10"/>
  <c r="R79" i="10"/>
  <c r="M8" i="10"/>
  <c r="K22" i="9"/>
  <c r="K23" i="9" s="1"/>
  <c r="J25" i="9" s="1"/>
  <c r="I22" i="9"/>
  <c r="G22" i="9"/>
  <c r="F22" i="9"/>
  <c r="E22" i="9"/>
  <c r="D22" i="9"/>
  <c r="C22" i="9"/>
  <c r="C23" i="9" s="1"/>
  <c r="B22" i="9"/>
  <c r="I21" i="9"/>
  <c r="I23" i="9" s="1"/>
  <c r="H25" i="9" s="1"/>
  <c r="G21" i="9"/>
  <c r="F21" i="9"/>
  <c r="E21" i="9"/>
  <c r="E23" i="9" s="1"/>
  <c r="D21" i="9"/>
  <c r="B21" i="9"/>
  <c r="G20" i="9"/>
  <c r="G23" i="9" s="1"/>
  <c r="F20" i="9"/>
  <c r="D20" i="9"/>
  <c r="D23" i="9" s="1"/>
  <c r="D25" i="9" s="1"/>
  <c r="B20" i="9"/>
  <c r="B23" i="9" s="1"/>
  <c r="B25" i="9" s="1"/>
  <c r="F19" i="9"/>
  <c r="F18" i="9"/>
  <c r="F23" i="9" s="1"/>
  <c r="F25" i="9" s="1"/>
  <c r="G19" i="10"/>
  <c r="F19" i="10"/>
  <c r="E19" i="10"/>
  <c r="D19" i="10"/>
  <c r="C19" i="10"/>
  <c r="G68" i="10"/>
  <c r="F68" i="10"/>
  <c r="E68" i="10"/>
  <c r="D68" i="10"/>
  <c r="C68" i="10"/>
  <c r="G55" i="10"/>
  <c r="G60" i="10" s="1"/>
  <c r="F55" i="10"/>
  <c r="E55" i="10"/>
  <c r="E60" i="10" s="1"/>
  <c r="D55" i="10"/>
  <c r="D60" i="10" s="1"/>
  <c r="C55" i="10"/>
  <c r="C60" i="10" s="1"/>
  <c r="G48" i="10"/>
  <c r="F48" i="10"/>
  <c r="E48" i="10"/>
  <c r="D48" i="10"/>
  <c r="C48" i="10"/>
  <c r="F55" i="4"/>
  <c r="F47" i="4"/>
  <c r="F25" i="4"/>
  <c r="F33" i="4" s="1"/>
  <c r="E55" i="4"/>
  <c r="E47" i="4"/>
  <c r="E25" i="4"/>
  <c r="E33" i="4" s="1"/>
  <c r="D55" i="4"/>
  <c r="C55" i="4"/>
  <c r="B55" i="4"/>
  <c r="D47" i="4"/>
  <c r="C47" i="4"/>
  <c r="B47" i="4"/>
  <c r="D25" i="4"/>
  <c r="D33" i="4" s="1"/>
  <c r="C25" i="4"/>
  <c r="C33" i="4" s="1"/>
  <c r="B25" i="4"/>
  <c r="B33" i="4" s="1"/>
  <c r="C2" i="4"/>
  <c r="D2" i="4" s="1"/>
  <c r="E2" i="4" s="1"/>
  <c r="F2" i="4" s="1"/>
  <c r="G2" i="4" s="1"/>
  <c r="H2" i="4" s="1"/>
  <c r="I2" i="4" s="1"/>
  <c r="J2" i="4" s="1"/>
  <c r="K2" i="4" s="1"/>
  <c r="G47" i="10"/>
  <c r="F47" i="10"/>
  <c r="E47" i="10"/>
  <c r="D47" i="10"/>
  <c r="C47" i="10"/>
  <c r="G44" i="10"/>
  <c r="F44" i="10"/>
  <c r="E44" i="10"/>
  <c r="D44" i="10"/>
  <c r="C44" i="10"/>
  <c r="F6" i="3"/>
  <c r="G65" i="10" s="1"/>
  <c r="E6" i="3"/>
  <c r="F65" i="10" s="1"/>
  <c r="D6" i="3"/>
  <c r="E65" i="10" s="1"/>
  <c r="C6" i="3"/>
  <c r="D65" i="10" s="1"/>
  <c r="B6" i="3"/>
  <c r="C65" i="10" s="1"/>
  <c r="G28" i="10"/>
  <c r="F28" i="10"/>
  <c r="E28" i="10"/>
  <c r="D28" i="10"/>
  <c r="C28" i="10"/>
  <c r="G27" i="10"/>
  <c r="F27" i="10"/>
  <c r="E27" i="10"/>
  <c r="D27" i="10"/>
  <c r="D30" i="10" s="1"/>
  <c r="C27" i="10"/>
  <c r="G24" i="10"/>
  <c r="F24" i="10"/>
  <c r="E24" i="10"/>
  <c r="D24" i="10"/>
  <c r="C24" i="10"/>
  <c r="G23" i="10"/>
  <c r="G25" i="10" s="1"/>
  <c r="F23" i="10"/>
  <c r="F25" i="10" s="1"/>
  <c r="E23" i="10"/>
  <c r="E25" i="10" s="1"/>
  <c r="D23" i="10"/>
  <c r="D25" i="10" s="1"/>
  <c r="C23" i="10"/>
  <c r="G20" i="10"/>
  <c r="F20" i="10"/>
  <c r="E20" i="10"/>
  <c r="D20" i="10"/>
  <c r="C20" i="10"/>
  <c r="M11" i="10"/>
  <c r="M5" i="10"/>
  <c r="M2" i="10"/>
  <c r="D1" i="10"/>
  <c r="E1" i="10" s="1"/>
  <c r="F1" i="10" s="1"/>
  <c r="G1" i="10" s="1"/>
  <c r="H1" i="10" s="1"/>
  <c r="I1" i="10" s="1"/>
  <c r="J1" i="10" s="1"/>
  <c r="K1" i="10" s="1"/>
  <c r="L1" i="10" s="1"/>
  <c r="M1" i="10" s="1"/>
  <c r="O10" i="5"/>
  <c r="K31" i="9"/>
  <c r="K32" i="9" s="1"/>
  <c r="K28" i="9"/>
  <c r="I29" i="9"/>
  <c r="K29" i="9" s="1"/>
  <c r="C28" i="9"/>
  <c r="D28" i="9" s="1"/>
  <c r="Y51" i="7"/>
  <c r="X51" i="7"/>
  <c r="W51" i="7"/>
  <c r="V51" i="7"/>
  <c r="U51" i="7"/>
  <c r="T48" i="7"/>
  <c r="Y52" i="7"/>
  <c r="Y54" i="7" s="1"/>
  <c r="X52" i="7"/>
  <c r="W52" i="7"/>
  <c r="W54" i="7" s="1"/>
  <c r="V52" i="7"/>
  <c r="V54" i="7" s="1"/>
  <c r="U52" i="7"/>
  <c r="U47" i="7"/>
  <c r="V47" i="7" s="1"/>
  <c r="W47" i="7" s="1"/>
  <c r="X47" i="7" s="1"/>
  <c r="Y47" i="7" s="1"/>
  <c r="T52" i="7"/>
  <c r="T54" i="7" s="1"/>
  <c r="H24" i="7"/>
  <c r="G24" i="7"/>
  <c r="F24" i="7"/>
  <c r="E24" i="7"/>
  <c r="D24" i="7"/>
  <c r="D22" i="7" s="1"/>
  <c r="H17" i="7"/>
  <c r="G17" i="7"/>
  <c r="F17" i="7"/>
  <c r="E17" i="7"/>
  <c r="D17" i="7"/>
  <c r="D15" i="7" s="1"/>
  <c r="D12" i="7" s="1"/>
  <c r="D13" i="7" s="1"/>
  <c r="E2" i="7"/>
  <c r="F2" i="7" s="1"/>
  <c r="G2" i="7" s="1"/>
  <c r="H2" i="7" s="1"/>
  <c r="I2" i="7" s="1"/>
  <c r="J2" i="7" s="1"/>
  <c r="K2" i="7" s="1"/>
  <c r="L2" i="7" s="1"/>
  <c r="M2" i="7" s="1"/>
  <c r="C1" i="9"/>
  <c r="D1" i="9" s="1"/>
  <c r="E1" i="9" s="1"/>
  <c r="F1" i="9" s="1"/>
  <c r="F6" i="9"/>
  <c r="E6" i="9"/>
  <c r="D2" i="5"/>
  <c r="E2" i="5" s="1"/>
  <c r="F2" i="5" s="1"/>
  <c r="G2" i="5" s="1"/>
  <c r="H2" i="5" s="1"/>
  <c r="I2" i="5" s="1"/>
  <c r="J2" i="5" s="1"/>
  <c r="K2" i="5" s="1"/>
  <c r="L2" i="5" s="1"/>
  <c r="G54" i="4" l="1"/>
  <c r="G70" i="11" s="1"/>
  <c r="H75" i="11"/>
  <c r="H54" i="4" s="1"/>
  <c r="H70" i="11" s="1"/>
  <c r="I22" i="2"/>
  <c r="J22" i="2" s="1"/>
  <c r="I13" i="2"/>
  <c r="J32" i="4"/>
  <c r="I32" i="4"/>
  <c r="H32" i="4"/>
  <c r="G32" i="4"/>
  <c r="H22" i="7"/>
  <c r="G8" i="7"/>
  <c r="F8" i="7"/>
  <c r="D8" i="7"/>
  <c r="E8" i="7"/>
  <c r="J13" i="2"/>
  <c r="J41" i="4"/>
  <c r="C298" i="10"/>
  <c r="D299" i="10" s="1"/>
  <c r="I47" i="11"/>
  <c r="J47" i="11"/>
  <c r="K41" i="4"/>
  <c r="I77" i="3"/>
  <c r="I7" i="11"/>
  <c r="I14" i="11"/>
  <c r="S4" i="12"/>
  <c r="R4" i="12"/>
  <c r="Q4" i="12"/>
  <c r="P4" i="12"/>
  <c r="M5" i="12" s="1"/>
  <c r="J4" i="13" s="1"/>
  <c r="J7" i="13" s="1"/>
  <c r="C14" i="10"/>
  <c r="F14" i="10"/>
  <c r="G267" i="10"/>
  <c r="F267" i="10"/>
  <c r="E267" i="10"/>
  <c r="D267" i="10"/>
  <c r="G298" i="10"/>
  <c r="G299" i="10" s="1"/>
  <c r="F299" i="10"/>
  <c r="E299" i="10"/>
  <c r="C280" i="10"/>
  <c r="D269" i="10"/>
  <c r="D272" i="10" s="1"/>
  <c r="D273" i="10" s="1"/>
  <c r="H275" i="10"/>
  <c r="H263" i="10"/>
  <c r="F88" i="3"/>
  <c r="E88" i="3"/>
  <c r="D88" i="3"/>
  <c r="B88" i="3"/>
  <c r="C88" i="3"/>
  <c r="C36" i="4"/>
  <c r="D226" i="10"/>
  <c r="B36" i="4"/>
  <c r="B57" i="4" s="1"/>
  <c r="B61" i="4" s="1"/>
  <c r="C59" i="4" s="1"/>
  <c r="C226" i="10"/>
  <c r="C252" i="10" s="1"/>
  <c r="D252" i="10" s="1"/>
  <c r="G226" i="10"/>
  <c r="F36" i="4"/>
  <c r="F57" i="4" s="1"/>
  <c r="F226" i="10"/>
  <c r="E36" i="4"/>
  <c r="E57" i="4" s="1"/>
  <c r="E226" i="10"/>
  <c r="E227" i="10" s="1"/>
  <c r="D36" i="4"/>
  <c r="G6" i="3"/>
  <c r="G77" i="11"/>
  <c r="H77" i="11" s="1"/>
  <c r="H76" i="11" s="1"/>
  <c r="G5" i="3"/>
  <c r="K22" i="5"/>
  <c r="J4" i="3" s="1"/>
  <c r="I22" i="5"/>
  <c r="H4" i="3" s="1"/>
  <c r="G14" i="5"/>
  <c r="G22" i="5"/>
  <c r="F14" i="5"/>
  <c r="F22" i="5"/>
  <c r="E14" i="5"/>
  <c r="E22" i="5"/>
  <c r="E23" i="5" s="1"/>
  <c r="D22" i="5"/>
  <c r="D14" i="5"/>
  <c r="C14" i="5"/>
  <c r="C22" i="5"/>
  <c r="C23" i="5" s="1"/>
  <c r="G105" i="10"/>
  <c r="F105" i="10"/>
  <c r="E105" i="10"/>
  <c r="D105" i="10"/>
  <c r="F101" i="10"/>
  <c r="D101" i="10"/>
  <c r="C66" i="11"/>
  <c r="L45" i="2"/>
  <c r="L48" i="2"/>
  <c r="K45" i="2"/>
  <c r="K48" i="2"/>
  <c r="J45" i="2"/>
  <c r="J48" i="2"/>
  <c r="I45" i="2"/>
  <c r="I48" i="2"/>
  <c r="H48" i="2"/>
  <c r="M3" i="13" s="1"/>
  <c r="G68" i="11"/>
  <c r="G69" i="11" s="1"/>
  <c r="G72" i="11" s="1"/>
  <c r="F66" i="11"/>
  <c r="F68" i="11"/>
  <c r="F69" i="11" s="1"/>
  <c r="F72" i="11" s="1"/>
  <c r="E68" i="11"/>
  <c r="E69" i="11" s="1"/>
  <c r="E72" i="11" s="1"/>
  <c r="E66" i="11"/>
  <c r="C69" i="11"/>
  <c r="C72" i="11" s="1"/>
  <c r="D68" i="11"/>
  <c r="D69" i="11" s="1"/>
  <c r="D72" i="11" s="1"/>
  <c r="D66" i="11"/>
  <c r="F15" i="7"/>
  <c r="F12" i="7" s="1"/>
  <c r="F13" i="7" s="1"/>
  <c r="E22" i="7"/>
  <c r="I75" i="11"/>
  <c r="I54" i="4" s="1"/>
  <c r="I70" i="11" s="1"/>
  <c r="B37" i="11"/>
  <c r="C25" i="11"/>
  <c r="C39" i="11" s="1"/>
  <c r="C40" i="11" s="1"/>
  <c r="B57" i="11"/>
  <c r="C45" i="11"/>
  <c r="C28" i="11"/>
  <c r="C5" i="11"/>
  <c r="C19" i="11" s="1"/>
  <c r="C20" i="11" s="1"/>
  <c r="B17" i="11"/>
  <c r="C8" i="11"/>
  <c r="G101" i="10"/>
  <c r="E101" i="10"/>
  <c r="R84" i="10"/>
  <c r="L84" i="10"/>
  <c r="O84" i="10"/>
  <c r="J84" i="10"/>
  <c r="Q84" i="10"/>
  <c r="S84" i="10"/>
  <c r="P84" i="10"/>
  <c r="N84" i="10"/>
  <c r="G49" i="10"/>
  <c r="F21" i="10"/>
  <c r="E21" i="10"/>
  <c r="D21" i="10"/>
  <c r="E66" i="10"/>
  <c r="G69" i="10"/>
  <c r="F69" i="10"/>
  <c r="E69" i="10"/>
  <c r="D69" i="10"/>
  <c r="G66" i="10"/>
  <c r="F66" i="10"/>
  <c r="D66" i="10"/>
  <c r="F49" i="10"/>
  <c r="E49" i="10"/>
  <c r="D49" i="10"/>
  <c r="C49" i="10"/>
  <c r="C25" i="10"/>
  <c r="G21" i="10"/>
  <c r="C21" i="10"/>
  <c r="G56" i="10"/>
  <c r="F60" i="10"/>
  <c r="F56" i="10"/>
  <c r="D56" i="10"/>
  <c r="E56" i="10"/>
  <c r="G30" i="10"/>
  <c r="F30" i="10"/>
  <c r="E30" i="10"/>
  <c r="C30" i="10"/>
  <c r="E15" i="7"/>
  <c r="E12" i="7" s="1"/>
  <c r="E13" i="7" s="1"/>
  <c r="Y53" i="7"/>
  <c r="X54" i="7"/>
  <c r="U53" i="7"/>
  <c r="H15" i="7"/>
  <c r="H12" i="7" s="1"/>
  <c r="W55" i="7"/>
  <c r="V53" i="7"/>
  <c r="U54" i="7"/>
  <c r="V55" i="7" s="1"/>
  <c r="W53" i="7"/>
  <c r="X53" i="7"/>
  <c r="G22" i="7"/>
  <c r="G15" i="7"/>
  <c r="G12" i="7" s="1"/>
  <c r="G13" i="7" s="1"/>
  <c r="F22" i="7"/>
  <c r="W22" i="9"/>
  <c r="F5" i="3"/>
  <c r="G102" i="10" s="1"/>
  <c r="E5" i="3"/>
  <c r="F102" i="10" s="1"/>
  <c r="D5" i="3"/>
  <c r="E102" i="10" s="1"/>
  <c r="C5" i="3"/>
  <c r="D102" i="10" s="1"/>
  <c r="F64" i="3"/>
  <c r="E64" i="3"/>
  <c r="D64" i="3"/>
  <c r="C64" i="3"/>
  <c r="F53" i="3"/>
  <c r="E53" i="3"/>
  <c r="C53" i="3"/>
  <c r="K47" i="11" l="1"/>
  <c r="K13" i="2"/>
  <c r="K22" i="2"/>
  <c r="L22" i="2" s="1"/>
  <c r="L13" i="2"/>
  <c r="M5" i="13"/>
  <c r="R3" i="13"/>
  <c r="J77" i="3"/>
  <c r="K77" i="3" s="1"/>
  <c r="J7" i="11"/>
  <c r="K7" i="11" s="1"/>
  <c r="J14" i="11"/>
  <c r="K14" i="11" s="1"/>
  <c r="J6" i="3"/>
  <c r="J54" i="3" s="1"/>
  <c r="H5" i="3"/>
  <c r="H6" i="3"/>
  <c r="H54" i="3" s="1"/>
  <c r="E269" i="10"/>
  <c r="E272" i="10" s="1"/>
  <c r="E273" i="10" s="1"/>
  <c r="D280" i="10"/>
  <c r="D281" i="10" s="1"/>
  <c r="D227" i="10"/>
  <c r="G227" i="10"/>
  <c r="F227" i="10"/>
  <c r="D229" i="10"/>
  <c r="D231" i="10" s="1"/>
  <c r="D233" i="10"/>
  <c r="C229" i="10"/>
  <c r="C231" i="10" s="1"/>
  <c r="C233" i="10"/>
  <c r="C57" i="4"/>
  <c r="C61" i="4" s="1"/>
  <c r="D59" i="4" s="1"/>
  <c r="C37" i="4"/>
  <c r="D57" i="4"/>
  <c r="D37" i="4"/>
  <c r="G229" i="10"/>
  <c r="G231" i="10" s="1"/>
  <c r="G233" i="10"/>
  <c r="F229" i="10"/>
  <c r="F231" i="10" s="1"/>
  <c r="F233" i="10"/>
  <c r="E229" i="10"/>
  <c r="E231" i="10" s="1"/>
  <c r="E233" i="10"/>
  <c r="I77" i="11"/>
  <c r="K2" i="10"/>
  <c r="I2" i="10"/>
  <c r="H2" i="10"/>
  <c r="H68" i="11"/>
  <c r="H69" i="11" s="1"/>
  <c r="H72" i="11" s="1"/>
  <c r="H63" i="3"/>
  <c r="H65" i="11" s="1"/>
  <c r="H53" i="4"/>
  <c r="J22" i="5"/>
  <c r="I4" i="3" s="1"/>
  <c r="L22" i="5"/>
  <c r="K4" i="3" s="1"/>
  <c r="G23" i="5"/>
  <c r="F23" i="5"/>
  <c r="D23" i="5"/>
  <c r="E252" i="10"/>
  <c r="G66" i="11"/>
  <c r="G76" i="11" s="1"/>
  <c r="X55" i="7"/>
  <c r="Y55" i="7"/>
  <c r="J75" i="11"/>
  <c r="J54" i="4" s="1"/>
  <c r="J70" i="11" s="1"/>
  <c r="C48" i="11"/>
  <c r="C59" i="11"/>
  <c r="C60" i="11" s="1"/>
  <c r="D25" i="11"/>
  <c r="C37" i="11"/>
  <c r="C57" i="11"/>
  <c r="D45" i="11"/>
  <c r="D5" i="11"/>
  <c r="C17" i="11"/>
  <c r="F37" i="4"/>
  <c r="E37" i="4"/>
  <c r="M95" i="10"/>
  <c r="M94" i="10"/>
  <c r="M93" i="10"/>
  <c r="M92" i="10"/>
  <c r="M91" i="10"/>
  <c r="M90" i="10"/>
  <c r="M96" i="10"/>
  <c r="I92" i="10"/>
  <c r="I93" i="10"/>
  <c r="I94" i="10"/>
  <c r="I95" i="10"/>
  <c r="I91" i="10"/>
  <c r="I90" i="10"/>
  <c r="I96" i="10"/>
  <c r="L94" i="10"/>
  <c r="L93" i="10"/>
  <c r="L92" i="10"/>
  <c r="L91" i="10"/>
  <c r="L90" i="10"/>
  <c r="L95" i="10"/>
  <c r="L96" i="10"/>
  <c r="J93" i="10"/>
  <c r="J92" i="10"/>
  <c r="J91" i="10"/>
  <c r="J90" i="10"/>
  <c r="J96" i="10"/>
  <c r="J94" i="10"/>
  <c r="J95" i="10"/>
  <c r="K90" i="10"/>
  <c r="K96" i="10"/>
  <c r="K91" i="10"/>
  <c r="K92" i="10"/>
  <c r="K95" i="10"/>
  <c r="K93" i="10"/>
  <c r="K94" i="10"/>
  <c r="P97" i="10"/>
  <c r="P91" i="10"/>
  <c r="P90" i="10"/>
  <c r="P95" i="10"/>
  <c r="P94" i="10"/>
  <c r="P92" i="10"/>
  <c r="P96" i="10"/>
  <c r="P93" i="10"/>
  <c r="O97" i="10"/>
  <c r="O93" i="10"/>
  <c r="O92" i="10"/>
  <c r="O91" i="10"/>
  <c r="O90" i="10"/>
  <c r="O95" i="10"/>
  <c r="O94" i="10"/>
  <c r="O96" i="10"/>
  <c r="N97" i="10"/>
  <c r="N93" i="10"/>
  <c r="N92" i="10"/>
  <c r="N91" i="10"/>
  <c r="N90" i="10"/>
  <c r="N96" i="10"/>
  <c r="N95" i="10"/>
  <c r="N94" i="10"/>
  <c r="R86" i="10"/>
  <c r="K86" i="10"/>
  <c r="I86" i="10"/>
  <c r="P86" i="10"/>
  <c r="N86" i="10"/>
  <c r="D53" i="3"/>
  <c r="B53" i="3"/>
  <c r="H19" i="7"/>
  <c r="H20" i="7" s="1"/>
  <c r="G134" i="10" s="1"/>
  <c r="G19" i="7"/>
  <c r="G20" i="7" s="1"/>
  <c r="F19" i="7"/>
  <c r="F20" i="7" s="1"/>
  <c r="F2" i="10"/>
  <c r="E2" i="10"/>
  <c r="D19" i="7"/>
  <c r="D20" i="7" s="1"/>
  <c r="G2" i="10"/>
  <c r="D2" i="10"/>
  <c r="E19" i="7"/>
  <c r="E20" i="7" s="1"/>
  <c r="U55" i="7"/>
  <c r="W23" i="9"/>
  <c r="Q19" i="9"/>
  <c r="W21" i="9"/>
  <c r="Q21" i="9"/>
  <c r="Q20" i="9"/>
  <c r="Q22" i="9"/>
  <c r="Q24" i="9"/>
  <c r="Q17" i="9"/>
  <c r="Q23" i="9"/>
  <c r="Q18" i="9"/>
  <c r="Q16" i="9"/>
  <c r="O19" i="9"/>
  <c r="U20" i="9"/>
  <c r="O22" i="9"/>
  <c r="O18" i="9"/>
  <c r="U19" i="9"/>
  <c r="O17" i="9"/>
  <c r="U18" i="9"/>
  <c r="O20" i="9"/>
  <c r="O16" i="9"/>
  <c r="O24" i="9"/>
  <c r="U22" i="9"/>
  <c r="O21" i="9"/>
  <c r="U21" i="9"/>
  <c r="O23" i="9"/>
  <c r="V23" i="9"/>
  <c r="P23" i="9"/>
  <c r="U23" i="9"/>
  <c r="X23" i="9"/>
  <c r="E16" i="10"/>
  <c r="C16" i="10"/>
  <c r="B64" i="3"/>
  <c r="G38" i="2"/>
  <c r="G199" i="10" s="1"/>
  <c r="F38" i="2"/>
  <c r="F199" i="10" s="1"/>
  <c r="D38" i="2"/>
  <c r="D199" i="10" s="1"/>
  <c r="C38" i="2"/>
  <c r="C199" i="10" s="1"/>
  <c r="E38" i="2"/>
  <c r="E199" i="10" s="1"/>
  <c r="E55" i="2"/>
  <c r="D55" i="2"/>
  <c r="C2" i="3"/>
  <c r="D2" i="3" s="1"/>
  <c r="E2" i="3" s="1"/>
  <c r="F2" i="3" s="1"/>
  <c r="G2" i="3" s="1"/>
  <c r="H2" i="3" s="1"/>
  <c r="I2" i="3" s="1"/>
  <c r="J2" i="3" s="1"/>
  <c r="K2" i="3" s="1"/>
  <c r="G55" i="2"/>
  <c r="F55" i="2"/>
  <c r="C55" i="2"/>
  <c r="G45" i="2"/>
  <c r="F45" i="2"/>
  <c r="E45" i="2"/>
  <c r="D45" i="2"/>
  <c r="C45" i="2"/>
  <c r="G29" i="2"/>
  <c r="F29" i="2"/>
  <c r="E29" i="2"/>
  <c r="D29" i="2"/>
  <c r="C29" i="2"/>
  <c r="G18" i="2"/>
  <c r="F18" i="2"/>
  <c r="E18" i="2"/>
  <c r="D18" i="2"/>
  <c r="C18" i="2"/>
  <c r="J9" i="13" l="1"/>
  <c r="J8" i="13"/>
  <c r="I20" i="7"/>
  <c r="I19" i="7" s="1"/>
  <c r="I22" i="7" s="1"/>
  <c r="F134" i="10"/>
  <c r="E134" i="10"/>
  <c r="D134" i="10"/>
  <c r="J5" i="3"/>
  <c r="I6" i="3"/>
  <c r="I5" i="3"/>
  <c r="K6" i="3"/>
  <c r="K5" i="3"/>
  <c r="D61" i="4"/>
  <c r="E59" i="4" s="1"/>
  <c r="E61" i="4" s="1"/>
  <c r="F59" i="4" s="1"/>
  <c r="F61" i="4" s="1"/>
  <c r="G59" i="4" s="1"/>
  <c r="I76" i="11"/>
  <c r="J77" i="11"/>
  <c r="G63" i="3"/>
  <c r="G65" i="11" s="1"/>
  <c r="G53" i="4"/>
  <c r="F269" i="10"/>
  <c r="F272" i="10" s="1"/>
  <c r="F273" i="10" s="1"/>
  <c r="E280" i="10"/>
  <c r="E281" i="10" s="1"/>
  <c r="H64" i="3"/>
  <c r="H24" i="4"/>
  <c r="G64" i="3"/>
  <c r="G24" i="4"/>
  <c r="D234" i="10"/>
  <c r="D245" i="10"/>
  <c r="C256" i="10"/>
  <c r="C245" i="10"/>
  <c r="G245" i="10"/>
  <c r="G234" i="10"/>
  <c r="F234" i="10"/>
  <c r="F245" i="10"/>
  <c r="E234" i="10"/>
  <c r="E245" i="10"/>
  <c r="I3" i="10"/>
  <c r="F252" i="10"/>
  <c r="E57" i="2"/>
  <c r="D57" i="2"/>
  <c r="C57" i="2"/>
  <c r="G200" i="10"/>
  <c r="G203" i="10"/>
  <c r="F200" i="10"/>
  <c r="F203" i="10"/>
  <c r="D200" i="10"/>
  <c r="D203" i="10"/>
  <c r="C200" i="10"/>
  <c r="C203" i="10"/>
  <c r="E200" i="10"/>
  <c r="E203" i="10"/>
  <c r="C134" i="10"/>
  <c r="K75" i="11"/>
  <c r="K54" i="4" s="1"/>
  <c r="K70" i="11" s="1"/>
  <c r="D39" i="11"/>
  <c r="D40" i="11" s="1"/>
  <c r="D28" i="11"/>
  <c r="D48" i="11"/>
  <c r="D57" i="11" s="1"/>
  <c r="D59" i="11"/>
  <c r="D60" i="11" s="1"/>
  <c r="E45" i="11"/>
  <c r="D8" i="11"/>
  <c r="D17" i="11" s="1"/>
  <c r="D19" i="11"/>
  <c r="D20" i="11" s="1"/>
  <c r="E5" i="11"/>
  <c r="G3" i="10"/>
  <c r="G57" i="10" s="1"/>
  <c r="H3" i="10"/>
  <c r="F3" i="10"/>
  <c r="F57" i="10" s="1"/>
  <c r="G16" i="10"/>
  <c r="G15" i="10"/>
  <c r="F15" i="10"/>
  <c r="F16" i="10"/>
  <c r="D16" i="10"/>
  <c r="E15" i="10"/>
  <c r="D15" i="10"/>
  <c r="D3" i="10"/>
  <c r="D57" i="10" s="1"/>
  <c r="E3" i="10"/>
  <c r="E57" i="10" s="1"/>
  <c r="C31" i="2"/>
  <c r="D33" i="7"/>
  <c r="D31" i="7"/>
  <c r="E37" i="7"/>
  <c r="E39" i="7"/>
  <c r="E33" i="7"/>
  <c r="E31" i="7"/>
  <c r="G39" i="7"/>
  <c r="G37" i="7"/>
  <c r="E7" i="9"/>
  <c r="H31" i="7"/>
  <c r="H33" i="7"/>
  <c r="E31" i="2"/>
  <c r="F33" i="7"/>
  <c r="F31" i="7"/>
  <c r="F39" i="7"/>
  <c r="F37" i="7"/>
  <c r="H39" i="7"/>
  <c r="H37" i="7"/>
  <c r="F7" i="9"/>
  <c r="G31" i="7"/>
  <c r="G33" i="7"/>
  <c r="D39" i="7"/>
  <c r="D37" i="7"/>
  <c r="V21" i="9"/>
  <c r="P22" i="9"/>
  <c r="P18" i="9"/>
  <c r="P17" i="9"/>
  <c r="V22" i="9"/>
  <c r="P24" i="9"/>
  <c r="P16" i="9"/>
  <c r="P20" i="9"/>
  <c r="P19" i="9"/>
  <c r="V20" i="9"/>
  <c r="P21" i="9"/>
  <c r="R16" i="9"/>
  <c r="R24" i="9"/>
  <c r="X21" i="9"/>
  <c r="R23" i="9"/>
  <c r="R19" i="9"/>
  <c r="X20" i="9"/>
  <c r="R22" i="9"/>
  <c r="R18" i="9"/>
  <c r="X19" i="9"/>
  <c r="R21" i="9"/>
  <c r="R17" i="9"/>
  <c r="X18" i="9"/>
  <c r="R20" i="9"/>
  <c r="X22" i="9"/>
  <c r="T23" i="9"/>
  <c r="N18" i="9"/>
  <c r="N17" i="9"/>
  <c r="T20" i="9"/>
  <c r="N16" i="9"/>
  <c r="N24" i="9"/>
  <c r="N19" i="9"/>
  <c r="N22" i="9"/>
  <c r="N21" i="9"/>
  <c r="T22" i="9"/>
  <c r="N20" i="9"/>
  <c r="N23" i="9"/>
  <c r="G57" i="2"/>
  <c r="F57" i="2"/>
  <c r="F31" i="2"/>
  <c r="G31" i="2"/>
  <c r="D31" i="2"/>
  <c r="J19" i="7" l="1"/>
  <c r="J22" i="7" s="1"/>
  <c r="L19" i="7"/>
  <c r="L22" i="7" s="1"/>
  <c r="J2" i="10"/>
  <c r="I54" i="3"/>
  <c r="L2" i="10"/>
  <c r="K54" i="3"/>
  <c r="J76" i="11"/>
  <c r="K77" i="11"/>
  <c r="K76" i="11" s="1"/>
  <c r="K68" i="11" s="1"/>
  <c r="K69" i="11" s="1"/>
  <c r="K72" i="11" s="1"/>
  <c r="I68" i="11"/>
  <c r="I69" i="11" s="1"/>
  <c r="I72" i="11" s="1"/>
  <c r="I63" i="3"/>
  <c r="I65" i="11" s="1"/>
  <c r="I53" i="4"/>
  <c r="F280" i="10"/>
  <c r="F281" i="10" s="1"/>
  <c r="G269" i="10"/>
  <c r="G272" i="10" s="1"/>
  <c r="G273" i="10" s="1"/>
  <c r="G274" i="10" s="1"/>
  <c r="C258" i="10"/>
  <c r="D256" i="10"/>
  <c r="G252" i="10"/>
  <c r="C59" i="2"/>
  <c r="C179" i="10"/>
  <c r="C180" i="10" s="1"/>
  <c r="C139" i="10"/>
  <c r="C140" i="10" s="1"/>
  <c r="U48" i="7"/>
  <c r="E179" i="10"/>
  <c r="E180" i="10" s="1"/>
  <c r="E139" i="10"/>
  <c r="E140" i="10" s="1"/>
  <c r="W48" i="7"/>
  <c r="F139" i="10"/>
  <c r="F140" i="10" s="1"/>
  <c r="X48" i="7"/>
  <c r="F179" i="10"/>
  <c r="F180" i="10" s="1"/>
  <c r="G179" i="10"/>
  <c r="G180" i="10" s="1"/>
  <c r="G139" i="10"/>
  <c r="G140" i="10" s="1"/>
  <c r="Y48" i="7"/>
  <c r="D139" i="10"/>
  <c r="D140" i="10" s="1"/>
  <c r="V48" i="7"/>
  <c r="D179" i="10"/>
  <c r="D180" i="10" s="1"/>
  <c r="D37" i="11"/>
  <c r="E25" i="11"/>
  <c r="E48" i="11"/>
  <c r="E59" i="11"/>
  <c r="E60" i="11" s="1"/>
  <c r="E8" i="11"/>
  <c r="E17" i="11" s="1"/>
  <c r="E19" i="11"/>
  <c r="E20" i="11" s="1"/>
  <c r="F5" i="11"/>
  <c r="H13" i="7"/>
  <c r="D135" i="10"/>
  <c r="F135" i="10"/>
  <c r="E59" i="2"/>
  <c r="G59" i="2"/>
  <c r="D59" i="2"/>
  <c r="F59" i="2"/>
  <c r="M19" i="7" l="1"/>
  <c r="M22" i="7" s="1"/>
  <c r="K19" i="7"/>
  <c r="K22" i="7" s="1"/>
  <c r="J68" i="11"/>
  <c r="J69" i="11" s="1"/>
  <c r="J72" i="11" s="1"/>
  <c r="J63" i="3"/>
  <c r="J65" i="11" s="1"/>
  <c r="J53" i="4"/>
  <c r="G135" i="10"/>
  <c r="I13" i="7"/>
  <c r="K3" i="10"/>
  <c r="J3" i="10"/>
  <c r="M3" i="10"/>
  <c r="L3" i="10"/>
  <c r="K53" i="4"/>
  <c r="K63" i="3"/>
  <c r="K65" i="11" s="1"/>
  <c r="I24" i="4"/>
  <c r="I64" i="3"/>
  <c r="H269" i="10"/>
  <c r="G280" i="10"/>
  <c r="G281" i="10" s="1"/>
  <c r="D258" i="10"/>
  <c r="E256" i="10"/>
  <c r="Y49" i="7"/>
  <c r="U49" i="7"/>
  <c r="V49" i="7"/>
  <c r="H67" i="7"/>
  <c r="H41" i="7"/>
  <c r="H65" i="7" s="1"/>
  <c r="W49" i="7"/>
  <c r="X49" i="7"/>
  <c r="C135" i="10"/>
  <c r="E135" i="10"/>
  <c r="E57" i="11"/>
  <c r="F45" i="11"/>
  <c r="E39" i="11"/>
  <c r="E40" i="11" s="1"/>
  <c r="E28" i="11"/>
  <c r="F48" i="11"/>
  <c r="F59" i="11"/>
  <c r="F60" i="11" s="1"/>
  <c r="F57" i="11"/>
  <c r="G45" i="11"/>
  <c r="F8" i="11"/>
  <c r="F19" i="11"/>
  <c r="F20" i="11" s="1"/>
  <c r="G60" i="11" l="1"/>
  <c r="H60" i="11" s="1"/>
  <c r="K64" i="3"/>
  <c r="K24" i="4"/>
  <c r="J64" i="3"/>
  <c r="J24" i="4"/>
  <c r="I12" i="7"/>
  <c r="J13" i="7"/>
  <c r="F256" i="10"/>
  <c r="E258" i="10"/>
  <c r="D67" i="7"/>
  <c r="D41" i="7"/>
  <c r="D65" i="7" s="1"/>
  <c r="E67" i="7"/>
  <c r="E41" i="7"/>
  <c r="E65" i="7" s="1"/>
  <c r="F41" i="7"/>
  <c r="F65" i="7" s="1"/>
  <c r="F67" i="7"/>
  <c r="G41" i="7"/>
  <c r="G65" i="7" s="1"/>
  <c r="G67" i="7"/>
  <c r="E37" i="11"/>
  <c r="F25" i="11"/>
  <c r="G48" i="11"/>
  <c r="G59" i="11"/>
  <c r="G5" i="11"/>
  <c r="F17" i="11"/>
  <c r="I60" i="11" l="1"/>
  <c r="J12" i="7"/>
  <c r="K13" i="7"/>
  <c r="F258" i="10"/>
  <c r="G256" i="10"/>
  <c r="G258" i="10" s="1"/>
  <c r="G53" i="11"/>
  <c r="H45" i="11"/>
  <c r="F39" i="11"/>
  <c r="F40" i="11" s="1"/>
  <c r="F28" i="11"/>
  <c r="G19" i="11"/>
  <c r="G13" i="11" s="1"/>
  <c r="G8" i="11"/>
  <c r="J60" i="11" l="1"/>
  <c r="K60" i="11" s="1"/>
  <c r="K12" i="7"/>
  <c r="L13" i="7"/>
  <c r="G55" i="11"/>
  <c r="G8" i="4"/>
  <c r="H48" i="11"/>
  <c r="H59" i="11"/>
  <c r="F37" i="11"/>
  <c r="G25" i="11"/>
  <c r="G15" i="11"/>
  <c r="H5" i="11"/>
  <c r="M13" i="7" l="1"/>
  <c r="M12" i="7" s="1"/>
  <c r="L12" i="7"/>
  <c r="G57" i="11"/>
  <c r="H8" i="2" s="1"/>
  <c r="H52" i="11"/>
  <c r="I45" i="11"/>
  <c r="H53" i="11"/>
  <c r="H12" i="11"/>
  <c r="G17" i="11"/>
  <c r="H6" i="2" s="1"/>
  <c r="G39" i="11"/>
  <c r="G28" i="11"/>
  <c r="H25" i="11" s="1"/>
  <c r="H19" i="11"/>
  <c r="H13" i="11" s="1"/>
  <c r="H8" i="11"/>
  <c r="H8" i="4" l="1"/>
  <c r="H55" i="11"/>
  <c r="I59" i="11"/>
  <c r="I48" i="11"/>
  <c r="H28" i="11"/>
  <c r="I25" i="11" s="1"/>
  <c r="H39" i="11"/>
  <c r="H15" i="11"/>
  <c r="I5" i="11"/>
  <c r="J45" i="11" l="1"/>
  <c r="I53" i="11"/>
  <c r="I8" i="4" s="1"/>
  <c r="H57" i="11"/>
  <c r="I8" i="2" s="1"/>
  <c r="I52" i="11"/>
  <c r="I12" i="11"/>
  <c r="H17" i="11"/>
  <c r="I6" i="2" s="1"/>
  <c r="I28" i="11"/>
  <c r="J25" i="11" s="1"/>
  <c r="I39" i="11"/>
  <c r="I19" i="11"/>
  <c r="I13" i="11" s="1"/>
  <c r="I8" i="11"/>
  <c r="J59" i="11" l="1"/>
  <c r="J48" i="11"/>
  <c r="I55" i="11"/>
  <c r="J28" i="11"/>
  <c r="K25" i="11" s="1"/>
  <c r="J39" i="11"/>
  <c r="I15" i="11"/>
  <c r="J5" i="11"/>
  <c r="J53" i="11" l="1"/>
  <c r="J8" i="4" s="1"/>
  <c r="K45" i="11"/>
  <c r="J52" i="11"/>
  <c r="I57" i="11"/>
  <c r="J8" i="2" s="1"/>
  <c r="K39" i="11"/>
  <c r="K28" i="11"/>
  <c r="J12" i="11"/>
  <c r="I17" i="11"/>
  <c r="J6" i="2" s="1"/>
  <c r="J19" i="11"/>
  <c r="J13" i="11" s="1"/>
  <c r="J8" i="11"/>
  <c r="J55" i="11" l="1"/>
  <c r="K59" i="11"/>
  <c r="K48" i="11"/>
  <c r="K53" i="11" s="1"/>
  <c r="K8" i="4" s="1"/>
  <c r="J15" i="11"/>
  <c r="K5" i="11"/>
  <c r="K52" i="11" l="1"/>
  <c r="K55" i="11" s="1"/>
  <c r="K57" i="11" s="1"/>
  <c r="L8" i="2" s="1"/>
  <c r="J57" i="11"/>
  <c r="K8" i="2" s="1"/>
  <c r="K12" i="11"/>
  <c r="J17" i="11"/>
  <c r="K6" i="2" s="1"/>
  <c r="K19" i="11"/>
  <c r="K13" i="11" s="1"/>
  <c r="K8" i="11"/>
  <c r="G33" i="11"/>
  <c r="G7" i="4" s="1"/>
  <c r="K15" i="11" l="1"/>
  <c r="K17" i="11" s="1"/>
  <c r="L6" i="2" s="1"/>
  <c r="G35" i="11"/>
  <c r="G57" i="3"/>
  <c r="J33" i="11"/>
  <c r="H33" i="11"/>
  <c r="I33" i="11"/>
  <c r="K33" i="11"/>
  <c r="J57" i="3" l="1"/>
  <c r="J7" i="4"/>
  <c r="H57" i="3"/>
  <c r="H7" i="4"/>
  <c r="I57" i="3"/>
  <c r="I7" i="4"/>
  <c r="K57" i="3"/>
  <c r="K7" i="4"/>
  <c r="H32" i="11"/>
  <c r="H35" i="11" s="1"/>
  <c r="G37" i="11"/>
  <c r="H10" i="2" s="1"/>
  <c r="H18" i="2" s="1"/>
  <c r="H37" i="11" l="1"/>
  <c r="I10" i="2" s="1"/>
  <c r="I18" i="2" s="1"/>
  <c r="I32" i="11"/>
  <c r="I35" i="11" s="1"/>
  <c r="I37" i="11" l="1"/>
  <c r="J10" i="2" s="1"/>
  <c r="J18" i="2" s="1"/>
  <c r="J32" i="11"/>
  <c r="J35" i="11" s="1"/>
  <c r="K32" i="11" l="1"/>
  <c r="K35" i="11" s="1"/>
  <c r="K37" i="11" s="1"/>
  <c r="L10" i="2" s="1"/>
  <c r="L18" i="2" s="1"/>
  <c r="J37" i="11"/>
  <c r="K10" i="2" s="1"/>
  <c r="K18" i="2" s="1"/>
  <c r="K59" i="3" l="1"/>
  <c r="I59" i="3"/>
  <c r="H59" i="3"/>
  <c r="J59" i="3"/>
  <c r="K8" i="10"/>
  <c r="J8" i="10"/>
  <c r="L8" i="10"/>
  <c r="I8" i="10"/>
  <c r="K66" i="3" l="1"/>
  <c r="K60" i="3"/>
  <c r="I66" i="3"/>
  <c r="I60" i="3"/>
  <c r="H66" i="3"/>
  <c r="H60" i="3"/>
  <c r="J66" i="3"/>
  <c r="J60" i="3"/>
  <c r="K9" i="10"/>
  <c r="J9" i="10"/>
  <c r="L9" i="10"/>
  <c r="M9" i="10"/>
  <c r="K4" i="4" l="1"/>
  <c r="K67" i="3"/>
  <c r="I4" i="4"/>
  <c r="I67" i="3"/>
  <c r="H4" i="4"/>
  <c r="H67" i="3"/>
  <c r="J4" i="4"/>
  <c r="J67" i="3"/>
  <c r="G54" i="3"/>
  <c r="G59" i="3" l="1"/>
  <c r="H8" i="10"/>
  <c r="G66" i="3" l="1"/>
  <c r="G60" i="3"/>
  <c r="I9" i="10"/>
  <c r="G67" i="3" l="1"/>
  <c r="G4" i="4"/>
  <c r="H75" i="3"/>
  <c r="J75" i="3" l="1"/>
  <c r="K75" i="3" l="1"/>
  <c r="I75" i="3" l="1"/>
  <c r="H276" i="10"/>
  <c r="H278" i="10"/>
  <c r="G12" i="4"/>
  <c r="H12" i="4"/>
  <c r="I276" i="10"/>
  <c r="I12" i="4"/>
  <c r="J276" i="10"/>
  <c r="J12" i="4"/>
  <c r="K276" i="10"/>
  <c r="K12" i="4"/>
  <c r="L276" i="10"/>
  <c r="I275" i="10" l="1"/>
  <c r="I278" i="10" s="1"/>
  <c r="H293" i="10"/>
  <c r="H294" i="10" s="1"/>
  <c r="I293" i="10" l="1"/>
  <c r="I294" i="10" s="1"/>
  <c r="I53" i="2" s="1"/>
  <c r="J275" i="10"/>
  <c r="J278" i="10" s="1"/>
  <c r="F18" i="3"/>
  <c r="H6" i="7"/>
  <c r="G5" i="10"/>
  <c r="F54" i="3"/>
  <c r="H49" i="7"/>
  <c r="F19" i="3"/>
  <c r="H47" i="7"/>
  <c r="G237" i="10"/>
  <c r="G240" i="10" s="1"/>
  <c r="G8" i="10"/>
  <c r="H9" i="10" s="1"/>
  <c r="G242" i="10"/>
  <c r="G29" i="10"/>
  <c r="G31" i="10"/>
  <c r="F55" i="3"/>
  <c r="H51" i="7"/>
  <c r="F59" i="3"/>
  <c r="F60" i="3" s="1"/>
  <c r="F66" i="3"/>
  <c r="F67" i="3" s="1"/>
  <c r="H43" i="7"/>
  <c r="H57" i="7"/>
  <c r="H59" i="7"/>
  <c r="F80" i="3"/>
  <c r="G34" i="3"/>
  <c r="G31" i="3"/>
  <c r="H31" i="3"/>
  <c r="I31" i="3"/>
  <c r="J31" i="3"/>
  <c r="K31" i="3"/>
  <c r="G30" i="3"/>
  <c r="G41" i="3"/>
  <c r="H41" i="3" s="1"/>
  <c r="I41" i="3" s="1"/>
  <c r="J41" i="3" s="1"/>
  <c r="K41" i="3" s="1"/>
  <c r="G28" i="3"/>
  <c r="H28" i="3" s="1"/>
  <c r="I28" i="3" s="1"/>
  <c r="J28" i="3" s="1"/>
  <c r="K28" i="3" s="1"/>
  <c r="G50" i="3"/>
  <c r="G23" i="4" s="1"/>
  <c r="H50" i="3"/>
  <c r="I50" i="3" s="1"/>
  <c r="H23" i="4"/>
  <c r="G32" i="3"/>
  <c r="H30" i="3"/>
  <c r="I30" i="3" s="1"/>
  <c r="J30" i="3" s="1"/>
  <c r="K30" i="3" s="1"/>
  <c r="G26" i="3"/>
  <c r="H26" i="3" s="1"/>
  <c r="I26" i="3" s="1"/>
  <c r="J26" i="3" s="1"/>
  <c r="K26" i="3" s="1"/>
  <c r="G45" i="3"/>
  <c r="H45" i="3"/>
  <c r="I45" i="3" s="1"/>
  <c r="J45" i="3" s="1"/>
  <c r="K45" i="3" s="1"/>
  <c r="H7" i="7" l="1"/>
  <c r="H27" i="7" s="1"/>
  <c r="G130" i="10"/>
  <c r="H26" i="7"/>
  <c r="G131" i="10"/>
  <c r="G133" i="10" s="1"/>
  <c r="G136" i="10" s="1"/>
  <c r="G27" i="3"/>
  <c r="H27" i="3" s="1"/>
  <c r="I27" i="3" s="1"/>
  <c r="J27" i="3" s="1"/>
  <c r="K27" i="3" s="1"/>
  <c r="G36" i="3"/>
  <c r="G24" i="3"/>
  <c r="H24" i="3" s="1"/>
  <c r="I24" i="3" s="1"/>
  <c r="J24" i="3" s="1"/>
  <c r="K24" i="3" s="1"/>
  <c r="G33" i="3"/>
  <c r="G25" i="3"/>
  <c r="H25" i="3" s="1"/>
  <c r="I25" i="3" s="1"/>
  <c r="J25" i="3" s="1"/>
  <c r="K25" i="3" s="1"/>
  <c r="G44" i="3"/>
  <c r="H44" i="3" s="1"/>
  <c r="I44" i="3" s="1"/>
  <c r="J44" i="3" s="1"/>
  <c r="K44" i="3" s="1"/>
  <c r="G29" i="3"/>
  <c r="H29" i="3" s="1"/>
  <c r="I29" i="3" s="1"/>
  <c r="J29" i="3" s="1"/>
  <c r="K29" i="3" s="1"/>
  <c r="F85" i="3"/>
  <c r="F84" i="3"/>
  <c r="F81" i="3"/>
  <c r="H306" i="10"/>
  <c r="H305" i="10"/>
  <c r="G73" i="3" s="1"/>
  <c r="G19" i="4" s="1"/>
  <c r="H304" i="10"/>
  <c r="G72" i="3" s="1"/>
  <c r="H303" i="10"/>
  <c r="G71" i="3" s="1"/>
  <c r="G22" i="4" s="1"/>
  <c r="J293" i="10"/>
  <c r="J294" i="10" s="1"/>
  <c r="J53" i="2" s="1"/>
  <c r="K275" i="10"/>
  <c r="K278" i="10" s="1"/>
  <c r="G11" i="4"/>
  <c r="H301" i="10"/>
  <c r="G69" i="3" s="1"/>
  <c r="H302" i="10"/>
  <c r="G70" i="3" s="1"/>
  <c r="G18" i="4"/>
  <c r="H34" i="3"/>
  <c r="J50" i="3"/>
  <c r="I23" i="4"/>
  <c r="H265" i="10"/>
  <c r="H32" i="3"/>
  <c r="G16" i="4" l="1"/>
  <c r="G76" i="3"/>
  <c r="G78" i="3" s="1"/>
  <c r="G17" i="4"/>
  <c r="H270" i="10" s="1"/>
  <c r="H36" i="3"/>
  <c r="H33" i="3"/>
  <c r="H264" i="10"/>
  <c r="H266" i="10" s="1"/>
  <c r="I263" i="10" s="1"/>
  <c r="G248" i="10"/>
  <c r="G249" i="10" s="1"/>
  <c r="G17" i="10"/>
  <c r="G11" i="10"/>
  <c r="G39" i="10"/>
  <c r="G40" i="10" s="1"/>
  <c r="F86" i="3"/>
  <c r="H55" i="7"/>
  <c r="F91" i="3"/>
  <c r="G39" i="4"/>
  <c r="G15" i="4"/>
  <c r="I29" i="4"/>
  <c r="L275" i="10"/>
  <c r="L278" i="10" s="1"/>
  <c r="L293" i="10" s="1"/>
  <c r="L294" i="10" s="1"/>
  <c r="L53" i="2" s="1"/>
  <c r="K293" i="10"/>
  <c r="K294" i="10" s="1"/>
  <c r="K53" i="2" s="1"/>
  <c r="G21" i="4"/>
  <c r="I34" i="3"/>
  <c r="H18" i="4"/>
  <c r="J23" i="4"/>
  <c r="K50" i="3"/>
  <c r="K23" i="4" s="1"/>
  <c r="I265" i="10"/>
  <c r="H11" i="4"/>
  <c r="I32" i="3"/>
  <c r="G25" i="4" l="1"/>
  <c r="H272" i="10"/>
  <c r="H282" i="10"/>
  <c r="H17" i="4"/>
  <c r="I270" i="10" s="1"/>
  <c r="I36" i="3"/>
  <c r="I33" i="3"/>
  <c r="I264" i="10"/>
  <c r="I266" i="10" s="1"/>
  <c r="J263" i="10" s="1"/>
  <c r="G235" i="10"/>
  <c r="H53" i="7"/>
  <c r="H63" i="7" s="1"/>
  <c r="H69" i="7" s="1"/>
  <c r="B4" i="13"/>
  <c r="G47" i="4"/>
  <c r="K29" i="4"/>
  <c r="J29" i="4"/>
  <c r="G80" i="3"/>
  <c r="H14" i="10"/>
  <c r="H15" i="10" s="1"/>
  <c r="I18" i="4"/>
  <c r="J34" i="3"/>
  <c r="I11" i="4"/>
  <c r="J265" i="10"/>
  <c r="J32" i="3"/>
  <c r="H280" i="10" l="1"/>
  <c r="H281" i="10" s="1"/>
  <c r="I269" i="10"/>
  <c r="I272" i="10" s="1"/>
  <c r="I17" i="4"/>
  <c r="J270" i="10" s="1"/>
  <c r="J36" i="3"/>
  <c r="J33" i="3"/>
  <c r="J11" i="4" s="1"/>
  <c r="J264" i="10"/>
  <c r="I282" i="10"/>
  <c r="I302" i="10"/>
  <c r="H70" i="3" s="1"/>
  <c r="G81" i="3"/>
  <c r="G83" i="3"/>
  <c r="I57" i="7" s="1"/>
  <c r="I59" i="7" s="1"/>
  <c r="I304" i="10"/>
  <c r="H72" i="3" s="1"/>
  <c r="I301" i="10"/>
  <c r="H69" i="3" s="1"/>
  <c r="I303" i="10"/>
  <c r="H71" i="3" s="1"/>
  <c r="I305" i="10"/>
  <c r="H73" i="3" s="1"/>
  <c r="H19" i="4" s="1"/>
  <c r="I306" i="10"/>
  <c r="J18" i="4"/>
  <c r="K34" i="3"/>
  <c r="K18" i="4" s="1"/>
  <c r="K265" i="10"/>
  <c r="K32" i="3"/>
  <c r="I280" i="10" l="1"/>
  <c r="I281" i="10" s="1"/>
  <c r="J269" i="10"/>
  <c r="J272" i="10" s="1"/>
  <c r="J17" i="4"/>
  <c r="K270" i="10" s="1"/>
  <c r="K36" i="3"/>
  <c r="K17" i="4" s="1"/>
  <c r="L270" i="10" s="1"/>
  <c r="K264" i="10"/>
  <c r="K33" i="3"/>
  <c r="J266" i="10"/>
  <c r="K263" i="10" s="1"/>
  <c r="J282" i="10"/>
  <c r="K266" i="10"/>
  <c r="L263" i="10" s="1"/>
  <c r="H21" i="4"/>
  <c r="G35" i="4"/>
  <c r="G84" i="3"/>
  <c r="J10" i="13" s="1"/>
  <c r="B8" i="13" s="1"/>
  <c r="G85" i="3"/>
  <c r="H15" i="4"/>
  <c r="H39" i="4"/>
  <c r="H76" i="3"/>
  <c r="H78" i="3" s="1"/>
  <c r="H80" i="3" s="1"/>
  <c r="H16" i="4"/>
  <c r="H22" i="4"/>
  <c r="L265" i="10"/>
  <c r="G88" i="3" l="1"/>
  <c r="I55" i="7"/>
  <c r="H25" i="4"/>
  <c r="J280" i="10"/>
  <c r="J281" i="10" s="1"/>
  <c r="K269" i="10"/>
  <c r="K272" i="10" s="1"/>
  <c r="K282" i="10"/>
  <c r="L264" i="10"/>
  <c r="K11" i="4"/>
  <c r="G86" i="3"/>
  <c r="I53" i="7" s="1"/>
  <c r="I63" i="7" s="1"/>
  <c r="I69" i="7" s="1"/>
  <c r="H11" i="10"/>
  <c r="H12" i="10" s="1"/>
  <c r="H47" i="4"/>
  <c r="C4" i="13"/>
  <c r="J303" i="10"/>
  <c r="I71" i="3" s="1"/>
  <c r="J304" i="10"/>
  <c r="I72" i="3" s="1"/>
  <c r="J305" i="10"/>
  <c r="I73" i="3" s="1"/>
  <c r="H81" i="3"/>
  <c r="H83" i="3"/>
  <c r="J306" i="10"/>
  <c r="J301" i="10"/>
  <c r="I69" i="3" s="1"/>
  <c r="J302" i="10"/>
  <c r="I70" i="3" s="1"/>
  <c r="I21" i="4" s="1"/>
  <c r="H85" i="3" l="1"/>
  <c r="J57" i="7"/>
  <c r="J59" i="7" s="1"/>
  <c r="L282" i="10"/>
  <c r="L266" i="10"/>
  <c r="L269" i="10"/>
  <c r="L272" i="10" s="1"/>
  <c r="L280" i="10" s="1"/>
  <c r="K280" i="10"/>
  <c r="K281" i="10" s="1"/>
  <c r="I22" i="4"/>
  <c r="H86" i="3"/>
  <c r="J53" i="7" s="1"/>
  <c r="J63" i="7" s="1"/>
  <c r="J69" i="7" s="1"/>
  <c r="I11" i="10"/>
  <c r="I12" i="10" s="1"/>
  <c r="I14" i="10" s="1"/>
  <c r="I47" i="3"/>
  <c r="I52" i="3" s="1"/>
  <c r="I53" i="3" s="1"/>
  <c r="I15" i="4"/>
  <c r="I39" i="4"/>
  <c r="I19" i="4"/>
  <c r="H35" i="4"/>
  <c r="H84" i="3"/>
  <c r="I16" i="4"/>
  <c r="I76" i="3"/>
  <c r="I78" i="3" s="1"/>
  <c r="I80" i="3" s="1"/>
  <c r="G51" i="4"/>
  <c r="G55" i="4" s="1"/>
  <c r="G91" i="3"/>
  <c r="H37" i="2" s="1"/>
  <c r="J55" i="7" l="1"/>
  <c r="H88" i="3"/>
  <c r="L281" i="10"/>
  <c r="H91" i="3"/>
  <c r="I37" i="2" s="1"/>
  <c r="H51" i="4"/>
  <c r="H55" i="4" s="1"/>
  <c r="D4" i="13"/>
  <c r="I47" i="4"/>
  <c r="K305" i="10"/>
  <c r="J73" i="3" s="1"/>
  <c r="K306" i="10"/>
  <c r="I83" i="3"/>
  <c r="I81" i="3"/>
  <c r="K301" i="10"/>
  <c r="J69" i="3" s="1"/>
  <c r="J16" i="4" s="1"/>
  <c r="I25" i="4"/>
  <c r="K302" i="10"/>
  <c r="J70" i="3" s="1"/>
  <c r="K304" i="10"/>
  <c r="J72" i="3" s="1"/>
  <c r="K303" i="10"/>
  <c r="J71" i="3" s="1"/>
  <c r="I85" i="3" l="1"/>
  <c r="K57" i="7"/>
  <c r="K59" i="7" s="1"/>
  <c r="H38" i="2"/>
  <c r="I38" i="2"/>
  <c r="J47" i="3"/>
  <c r="J52" i="3" s="1"/>
  <c r="J53" i="3" s="1"/>
  <c r="J11" i="10"/>
  <c r="I86" i="3"/>
  <c r="K53" i="7" s="1"/>
  <c r="K63" i="7" s="1"/>
  <c r="K69" i="7" s="1"/>
  <c r="J19" i="4"/>
  <c r="I84" i="3"/>
  <c r="I35" i="4"/>
  <c r="J76" i="3"/>
  <c r="J78" i="3" s="1"/>
  <c r="J80" i="3" s="1"/>
  <c r="J21" i="4"/>
  <c r="J39" i="4"/>
  <c r="J15" i="4"/>
  <c r="J22" i="4"/>
  <c r="K55" i="7" l="1"/>
  <c r="I88" i="3"/>
  <c r="I37" i="7"/>
  <c r="I39" i="7"/>
  <c r="J39" i="7"/>
  <c r="J37" i="7"/>
  <c r="L303" i="10"/>
  <c r="K71" i="3" s="1"/>
  <c r="K22" i="4" s="1"/>
  <c r="L302" i="10"/>
  <c r="K70" i="3" s="1"/>
  <c r="K21" i="4" s="1"/>
  <c r="J12" i="10"/>
  <c r="J14" i="10" s="1"/>
  <c r="J81" i="3"/>
  <c r="L305" i="10"/>
  <c r="K73" i="3" s="1"/>
  <c r="K19" i="4" s="1"/>
  <c r="J83" i="3"/>
  <c r="L57" i="7" s="1"/>
  <c r="L59" i="7" s="1"/>
  <c r="L306" i="10"/>
  <c r="J47" i="4"/>
  <c r="E4" i="13"/>
  <c r="J25" i="4"/>
  <c r="I51" i="4"/>
  <c r="I55" i="4" s="1"/>
  <c r="I91" i="3"/>
  <c r="J37" i="2" s="1"/>
  <c r="L304" i="10"/>
  <c r="K72" i="3" s="1"/>
  <c r="L301" i="10"/>
  <c r="K69" i="3" s="1"/>
  <c r="F6" i="7"/>
  <c r="D5" i="10"/>
  <c r="C18" i="3"/>
  <c r="C19" i="3" s="1"/>
  <c r="E47" i="7" s="1"/>
  <c r="E6" i="7"/>
  <c r="D18" i="3"/>
  <c r="E5" i="10"/>
  <c r="B18" i="3"/>
  <c r="B19" i="3" s="1"/>
  <c r="C5" i="10"/>
  <c r="D6" i="7"/>
  <c r="E18" i="3"/>
  <c r="F5" i="10"/>
  <c r="G6" i="10" s="1"/>
  <c r="G6" i="7"/>
  <c r="C54" i="3"/>
  <c r="E49" i="7"/>
  <c r="D54" i="3"/>
  <c r="F49" i="7"/>
  <c r="D19" i="3"/>
  <c r="F47" i="7"/>
  <c r="B54" i="3"/>
  <c r="D49" i="7"/>
  <c r="F6" i="10"/>
  <c r="D130" i="10" l="1"/>
  <c r="E7" i="7"/>
  <c r="E27" i="7" s="1"/>
  <c r="D6" i="10"/>
  <c r="E6" i="10"/>
  <c r="E130" i="10"/>
  <c r="F7" i="7"/>
  <c r="D7" i="7"/>
  <c r="C130" i="10"/>
  <c r="E54" i="3"/>
  <c r="E19" i="3"/>
  <c r="G7" i="7"/>
  <c r="F130" i="10"/>
  <c r="D237" i="10"/>
  <c r="D8" i="10"/>
  <c r="D9" i="10" s="1"/>
  <c r="D242" i="10"/>
  <c r="E57" i="7"/>
  <c r="E59" i="7" s="1"/>
  <c r="E237" i="10"/>
  <c r="E8" i="10"/>
  <c r="E242" i="10"/>
  <c r="D59" i="3"/>
  <c r="E29" i="10"/>
  <c r="E31" i="10" s="1"/>
  <c r="B59" i="3"/>
  <c r="C237" i="10"/>
  <c r="C8" i="10"/>
  <c r="C242" i="10"/>
  <c r="C29" i="10"/>
  <c r="C31" i="10" s="1"/>
  <c r="B55" i="3"/>
  <c r="D51" i="7" s="1"/>
  <c r="J84" i="3"/>
  <c r="J35" i="4"/>
  <c r="J85" i="3"/>
  <c r="J38" i="2"/>
  <c r="K15" i="4"/>
  <c r="K39" i="4"/>
  <c r="K76" i="3"/>
  <c r="K78" i="3" s="1"/>
  <c r="K80" i="3" s="1"/>
  <c r="K16" i="4"/>
  <c r="D29" i="10"/>
  <c r="D31" i="10" s="1"/>
  <c r="C55" i="3"/>
  <c r="E51" i="7" s="1"/>
  <c r="C59" i="3"/>
  <c r="E43" i="7"/>
  <c r="F57" i="7"/>
  <c r="F59" i="7" s="1"/>
  <c r="F43" i="7"/>
  <c r="D55" i="3"/>
  <c r="F51" i="7" s="1"/>
  <c r="D57" i="7"/>
  <c r="D59" i="7" s="1"/>
  <c r="D43" i="7"/>
  <c r="D47" i="7"/>
  <c r="J88" i="3" l="1"/>
  <c r="L55" i="7"/>
  <c r="K37" i="7"/>
  <c r="K39" i="7"/>
  <c r="D131" i="10"/>
  <c r="D133" i="10" s="1"/>
  <c r="D136" i="10" s="1"/>
  <c r="E26" i="7"/>
  <c r="I7" i="7"/>
  <c r="E9" i="10"/>
  <c r="F27" i="7"/>
  <c r="F26" i="7"/>
  <c r="E131" i="10"/>
  <c r="E133" i="10" s="1"/>
  <c r="E136" i="10" s="1"/>
  <c r="F242" i="10"/>
  <c r="E55" i="3"/>
  <c r="G51" i="7" s="1"/>
  <c r="F237" i="10"/>
  <c r="E59" i="3"/>
  <c r="F29" i="10"/>
  <c r="F31" i="10" s="1"/>
  <c r="G43" i="7"/>
  <c r="F8" i="10"/>
  <c r="G57" i="7"/>
  <c r="G59" i="7" s="1"/>
  <c r="G49" i="7"/>
  <c r="G26" i="7"/>
  <c r="G27" i="7"/>
  <c r="F131" i="10"/>
  <c r="F133" i="10" s="1"/>
  <c r="F136" i="10" s="1"/>
  <c r="D60" i="3"/>
  <c r="D66" i="3"/>
  <c r="B60" i="3"/>
  <c r="B66" i="3"/>
  <c r="C131" i="10"/>
  <c r="C133" i="10" s="1"/>
  <c r="C136" i="10" s="1"/>
  <c r="D27" i="7"/>
  <c r="D26" i="7"/>
  <c r="G47" i="7"/>
  <c r="G19" i="3"/>
  <c r="D240" i="10"/>
  <c r="D238" i="10"/>
  <c r="E240" i="10"/>
  <c r="E238" i="10"/>
  <c r="C240" i="10"/>
  <c r="C253" i="10"/>
  <c r="C66" i="3"/>
  <c r="C60" i="3"/>
  <c r="K47" i="3"/>
  <c r="K52" i="3" s="1"/>
  <c r="K53" i="3" s="1"/>
  <c r="K11" i="10"/>
  <c r="K12" i="10" s="1"/>
  <c r="K14" i="10" s="1"/>
  <c r="J86" i="3"/>
  <c r="L53" i="7" s="1"/>
  <c r="L63" i="7" s="1"/>
  <c r="L69" i="7" s="1"/>
  <c r="F4" i="13"/>
  <c r="K47" i="4"/>
  <c r="K83" i="3"/>
  <c r="M57" i="7" s="1"/>
  <c r="M59" i="7" s="1"/>
  <c r="K81" i="3"/>
  <c r="K25" i="4"/>
  <c r="C67" i="3"/>
  <c r="C80" i="3"/>
  <c r="F238" i="10" l="1"/>
  <c r="G238" i="10"/>
  <c r="F240" i="10"/>
  <c r="E66" i="3"/>
  <c r="E60" i="3"/>
  <c r="F9" i="10"/>
  <c r="G9" i="10"/>
  <c r="D80" i="3"/>
  <c r="D67" i="3"/>
  <c r="B80" i="3"/>
  <c r="B67" i="3"/>
  <c r="I6" i="7"/>
  <c r="H19" i="3"/>
  <c r="I19" i="3" s="1"/>
  <c r="J19" i="3" s="1"/>
  <c r="K19" i="3" s="1"/>
  <c r="G18" i="3"/>
  <c r="G16" i="3" s="1"/>
  <c r="D253" i="10"/>
  <c r="C254" i="10"/>
  <c r="K35" i="4"/>
  <c r="K84" i="3"/>
  <c r="K85" i="3"/>
  <c r="J51" i="4"/>
  <c r="J55" i="4" s="1"/>
  <c r="J91" i="3"/>
  <c r="K37" i="2" s="1"/>
  <c r="C84" i="3"/>
  <c r="C81" i="3"/>
  <c r="C85" i="3"/>
  <c r="H18" i="3"/>
  <c r="H16" i="3" s="1"/>
  <c r="I5" i="10" s="1"/>
  <c r="G12" i="3"/>
  <c r="H5" i="10"/>
  <c r="H6" i="10" s="1"/>
  <c r="G10" i="3"/>
  <c r="G13" i="3"/>
  <c r="G15" i="3"/>
  <c r="G14" i="3"/>
  <c r="G11" i="3"/>
  <c r="G9" i="3"/>
  <c r="K88" i="3" l="1"/>
  <c r="M55" i="7"/>
  <c r="K38" i="2"/>
  <c r="E253" i="10"/>
  <c r="D254" i="10"/>
  <c r="E80" i="3"/>
  <c r="E67" i="3"/>
  <c r="D85" i="3"/>
  <c r="D84" i="3"/>
  <c r="D81" i="3"/>
  <c r="B81" i="3"/>
  <c r="B85" i="3"/>
  <c r="B84" i="3"/>
  <c r="J6" i="7"/>
  <c r="H15" i="3"/>
  <c r="H14" i="3"/>
  <c r="K86" i="3"/>
  <c r="M53" i="7" s="1"/>
  <c r="M63" i="7" s="1"/>
  <c r="M69" i="7" s="1"/>
  <c r="L11" i="10"/>
  <c r="H10" i="3"/>
  <c r="H12" i="3"/>
  <c r="D39" i="10"/>
  <c r="D40" i="10" s="1"/>
  <c r="D11" i="10"/>
  <c r="C86" i="3"/>
  <c r="D17" i="10"/>
  <c r="E55" i="7"/>
  <c r="C91" i="3"/>
  <c r="D248" i="10"/>
  <c r="D249" i="10" s="1"/>
  <c r="I18" i="3"/>
  <c r="I16" i="3" s="1"/>
  <c r="I10" i="7"/>
  <c r="I17" i="7"/>
  <c r="H51" i="2" s="1"/>
  <c r="H9" i="3"/>
  <c r="I6" i="10"/>
  <c r="H13" i="3"/>
  <c r="H11" i="3"/>
  <c r="L39" i="7" l="1"/>
  <c r="L37" i="7"/>
  <c r="F253" i="10"/>
  <c r="E254" i="10"/>
  <c r="E81" i="3"/>
  <c r="E84" i="3"/>
  <c r="E85" i="3"/>
  <c r="G47" i="3"/>
  <c r="G52" i="3" s="1"/>
  <c r="G53" i="3" s="1"/>
  <c r="D91" i="3"/>
  <c r="D86" i="3"/>
  <c r="E39" i="10"/>
  <c r="E40" i="10" s="1"/>
  <c r="F55" i="7"/>
  <c r="E17" i="10"/>
  <c r="E11" i="10"/>
  <c r="E12" i="10" s="1"/>
  <c r="E248" i="10"/>
  <c r="E249" i="10" s="1"/>
  <c r="C248" i="10"/>
  <c r="C249" i="10" s="1"/>
  <c r="B91" i="3"/>
  <c r="D55" i="7"/>
  <c r="C17" i="10"/>
  <c r="C39" i="10"/>
  <c r="C40" i="10" s="1"/>
  <c r="C11" i="10"/>
  <c r="D12" i="10" s="1"/>
  <c r="B86" i="3"/>
  <c r="K6" i="7"/>
  <c r="M12" i="10"/>
  <c r="M14" i="10" s="1"/>
  <c r="L12" i="10"/>
  <c r="L14" i="10" s="1"/>
  <c r="K51" i="4"/>
  <c r="K55" i="4" s="1"/>
  <c r="K91" i="3"/>
  <c r="L37" i="2" s="1"/>
  <c r="L38" i="2" s="1"/>
  <c r="I13" i="3"/>
  <c r="D235" i="10"/>
  <c r="E53" i="7"/>
  <c r="E63" i="7" s="1"/>
  <c r="E69" i="7" s="1"/>
  <c r="K18" i="3"/>
  <c r="K16" i="3" s="1"/>
  <c r="L5" i="10" s="1"/>
  <c r="J18" i="3"/>
  <c r="J16" i="3" s="1"/>
  <c r="I14" i="3"/>
  <c r="I15" i="3"/>
  <c r="I10" i="3"/>
  <c r="I12" i="3"/>
  <c r="J5" i="10"/>
  <c r="J6" i="10" s="1"/>
  <c r="I8" i="7"/>
  <c r="H20" i="2"/>
  <c r="J10" i="7" s="1"/>
  <c r="J8" i="7" s="1"/>
  <c r="I15" i="7"/>
  <c r="G28" i="4"/>
  <c r="J17" i="7"/>
  <c r="I51" i="2" s="1"/>
  <c r="I9" i="3"/>
  <c r="I11" i="3"/>
  <c r="M39" i="7" l="1"/>
  <c r="M37" i="7"/>
  <c r="F254" i="10"/>
  <c r="G253" i="10"/>
  <c r="G254" i="10" s="1"/>
  <c r="H47" i="3"/>
  <c r="H52" i="3" s="1"/>
  <c r="H53" i="3" s="1"/>
  <c r="F11" i="10"/>
  <c r="G55" i="7"/>
  <c r="F39" i="10"/>
  <c r="F40" i="10" s="1"/>
  <c r="F17" i="10"/>
  <c r="E91" i="3"/>
  <c r="F248" i="10"/>
  <c r="F249" i="10" s="1"/>
  <c r="E86" i="3"/>
  <c r="F53" i="7"/>
  <c r="F63" i="7" s="1"/>
  <c r="F69" i="7" s="1"/>
  <c r="E235" i="10"/>
  <c r="C235" i="10"/>
  <c r="D53" i="7"/>
  <c r="D63" i="7" s="1"/>
  <c r="D69" i="7" s="1"/>
  <c r="M6" i="7"/>
  <c r="L6" i="7"/>
  <c r="M6" i="10"/>
  <c r="J13" i="3"/>
  <c r="K13" i="3" s="1"/>
  <c r="K5" i="10"/>
  <c r="G30" i="4"/>
  <c r="H55" i="2"/>
  <c r="J15" i="7"/>
  <c r="J9" i="3"/>
  <c r="I20" i="2"/>
  <c r="J14" i="3"/>
  <c r="K14" i="3" s="1"/>
  <c r="J15" i="3"/>
  <c r="K15" i="3" s="1"/>
  <c r="J10" i="3"/>
  <c r="K10" i="3" s="1"/>
  <c r="J12" i="3"/>
  <c r="K12" i="3" s="1"/>
  <c r="J11" i="3"/>
  <c r="K11" i="3" s="1"/>
  <c r="K17" i="7" l="1"/>
  <c r="J51" i="2" s="1"/>
  <c r="H28" i="4"/>
  <c r="F12" i="10"/>
  <c r="G12" i="10"/>
  <c r="G53" i="7"/>
  <c r="G63" i="7" s="1"/>
  <c r="G69" i="7" s="1"/>
  <c r="F235" i="10"/>
  <c r="I55" i="2"/>
  <c r="I57" i="2" s="1"/>
  <c r="K9" i="3"/>
  <c r="K6" i="10"/>
  <c r="L6" i="10"/>
  <c r="H30" i="4"/>
  <c r="K10" i="7"/>
  <c r="K15" i="7" l="1"/>
  <c r="L17" i="7"/>
  <c r="K51" i="2" s="1"/>
  <c r="J20" i="2"/>
  <c r="K8" i="7"/>
  <c r="I28" i="4" l="1"/>
  <c r="J55" i="2"/>
  <c r="J57" i="2" s="1"/>
  <c r="L15" i="7"/>
  <c r="I30" i="4"/>
  <c r="L10" i="7"/>
  <c r="J28" i="4" l="1"/>
  <c r="M17" i="7"/>
  <c r="L51" i="2" s="1"/>
  <c r="K55" i="2"/>
  <c r="K57" i="2" s="1"/>
  <c r="L8" i="7"/>
  <c r="K20" i="2"/>
  <c r="M15" i="7" l="1"/>
  <c r="L55" i="2"/>
  <c r="L57" i="2" s="1"/>
  <c r="K28" i="4"/>
  <c r="J30" i="4"/>
  <c r="M10" i="7"/>
  <c r="M8" i="7" l="1"/>
  <c r="L20" i="2"/>
  <c r="K30" i="4" l="1"/>
  <c r="I24" i="7" l="1"/>
  <c r="H23" i="2" s="1"/>
  <c r="J24" i="7" l="1"/>
  <c r="I23" i="2" s="1"/>
  <c r="G31" i="4"/>
  <c r="K24" i="7" l="1"/>
  <c r="J23" i="2" s="1"/>
  <c r="I31" i="4" s="1"/>
  <c r="I33" i="4" s="1"/>
  <c r="I36" i="4" s="1"/>
  <c r="H31" i="4"/>
  <c r="L24" i="7" l="1"/>
  <c r="K23" i="2" s="1"/>
  <c r="J31" i="4" s="1"/>
  <c r="J33" i="4" s="1"/>
  <c r="J36" i="4" s="1"/>
  <c r="I57" i="4"/>
  <c r="D2" i="13"/>
  <c r="D5" i="13" s="1"/>
  <c r="E12" i="13" s="1"/>
  <c r="E14" i="13" s="1"/>
  <c r="J57" i="4" l="1"/>
  <c r="E2" i="13"/>
  <c r="E5" i="13" s="1"/>
  <c r="F12" i="13" s="1"/>
  <c r="M24" i="7"/>
  <c r="L23" i="2" s="1"/>
  <c r="K31" i="4" s="1"/>
  <c r="K33" i="4" s="1"/>
  <c r="K36" i="4" s="1"/>
  <c r="F2" i="13" l="1"/>
  <c r="F5" i="13" s="1"/>
  <c r="G12" i="13" s="1"/>
  <c r="F14" i="13" s="1"/>
  <c r="K57" i="4"/>
  <c r="G29" i="4" l="1"/>
  <c r="G33" i="4" s="1"/>
  <c r="G36" i="4" s="1"/>
  <c r="H45" i="2"/>
  <c r="H57" i="2" s="1"/>
  <c r="H29" i="4"/>
  <c r="H33" i="4" s="1"/>
  <c r="H36" i="4" s="1"/>
  <c r="C2" i="13" l="1"/>
  <c r="C5" i="13" s="1"/>
  <c r="D12" i="13" s="1"/>
  <c r="D14" i="13" s="1"/>
  <c r="H57" i="4"/>
  <c r="B2" i="13"/>
  <c r="B5" i="13" s="1"/>
  <c r="C12" i="13" s="1"/>
  <c r="C14" i="13" s="1"/>
  <c r="G57" i="4"/>
  <c r="G61" i="4" s="1"/>
  <c r="R2" i="13" l="1"/>
  <c r="R5" i="13" s="1"/>
  <c r="R7" i="13" s="1"/>
  <c r="H59" i="4"/>
  <c r="H61" i="4" s="1"/>
  <c r="H24" i="2"/>
  <c r="H29" i="2" s="1"/>
  <c r="H31" i="2" l="1"/>
  <c r="H59" i="2" s="1"/>
  <c r="I33" i="7"/>
  <c r="I31" i="7"/>
  <c r="I24" i="2"/>
  <c r="I29" i="2" s="1"/>
  <c r="I59" i="4"/>
  <c r="I61" i="4" s="1"/>
  <c r="I31" i="2" l="1"/>
  <c r="I59" i="2" s="1"/>
  <c r="J31" i="7"/>
  <c r="J33" i="7"/>
  <c r="J59" i="4"/>
  <c r="J61" i="4" s="1"/>
  <c r="J24" i="2"/>
  <c r="J29" i="2" s="1"/>
  <c r="J31" i="2" l="1"/>
  <c r="J59" i="2" s="1"/>
  <c r="K33" i="7"/>
  <c r="K31" i="7"/>
  <c r="K24" i="2"/>
  <c r="K29" i="2" s="1"/>
  <c r="K59" i="4"/>
  <c r="K61" i="4" s="1"/>
  <c r="L24" i="2" s="1"/>
  <c r="L29" i="2" s="1"/>
  <c r="K31" i="2" l="1"/>
  <c r="K59" i="2" s="1"/>
  <c r="L33" i="7"/>
  <c r="L31" i="7"/>
  <c r="L31" i="2"/>
  <c r="L59" i="2" s="1"/>
  <c r="M33" i="7"/>
  <c r="M3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Nihar Pundalik</author>
  </authors>
  <commentList>
    <comment ref="H37" authorId="0" shapeId="0" xr:uid="{06636D74-6ABB-4E51-A73D-CC5208098269}">
      <text>
        <r>
          <rPr>
            <b/>
            <sz val="9"/>
            <color indexed="81"/>
            <rFont val="Tahoma"/>
            <charset val="1"/>
          </rPr>
          <t>Nihar Pundalik:</t>
        </r>
        <r>
          <rPr>
            <sz val="9"/>
            <color indexed="81"/>
            <rFont val="Tahoma"/>
            <charset val="1"/>
          </rPr>
          <t xml:space="preserve">
Employees Stock option cost added
</t>
        </r>
      </text>
    </comment>
    <comment ref="H51" authorId="0" shapeId="0" xr:uid="{76B7BF1B-4828-4173-96B5-E34E7AF81AED}">
      <text>
        <r>
          <rPr>
            <b/>
            <sz val="9"/>
            <color indexed="81"/>
            <rFont val="Tahoma"/>
            <family val="2"/>
          </rPr>
          <t>Nihar Pundalik:</t>
        </r>
        <r>
          <rPr>
            <sz val="9"/>
            <color indexed="81"/>
            <rFont val="Tahoma"/>
            <family val="2"/>
          </rPr>
          <t xml:space="preserve">
Total Payables
</t>
        </r>
      </text>
    </comment>
    <comment ref="I51" authorId="0" shapeId="0" xr:uid="{C79C193B-0D61-40AD-A082-90506CE8858A}">
      <text>
        <r>
          <rPr>
            <b/>
            <sz val="9"/>
            <color indexed="81"/>
            <rFont val="Tahoma"/>
            <family val="2"/>
          </rPr>
          <t>Nihar Pundalik:</t>
        </r>
        <r>
          <rPr>
            <sz val="9"/>
            <color indexed="81"/>
            <rFont val="Tahoma"/>
            <family val="2"/>
          </rPr>
          <t xml:space="preserve">
Total Payables
</t>
        </r>
      </text>
    </comment>
    <comment ref="J51" authorId="0" shapeId="0" xr:uid="{CDF8D7C4-A34E-48D6-9CCE-71F3568F1865}">
      <text>
        <r>
          <rPr>
            <b/>
            <sz val="9"/>
            <color indexed="81"/>
            <rFont val="Tahoma"/>
            <family val="2"/>
          </rPr>
          <t>Nihar Pundalik:</t>
        </r>
        <r>
          <rPr>
            <sz val="9"/>
            <color indexed="81"/>
            <rFont val="Tahoma"/>
            <family val="2"/>
          </rPr>
          <t xml:space="preserve">
Total Payables
</t>
        </r>
      </text>
    </comment>
    <comment ref="K51" authorId="0" shapeId="0" xr:uid="{8C880545-9A74-43A6-ABDD-DD143B11558E}">
      <text>
        <r>
          <rPr>
            <b/>
            <sz val="9"/>
            <color indexed="81"/>
            <rFont val="Tahoma"/>
            <family val="2"/>
          </rPr>
          <t>Nihar Pundalik:</t>
        </r>
        <r>
          <rPr>
            <sz val="9"/>
            <color indexed="81"/>
            <rFont val="Tahoma"/>
            <family val="2"/>
          </rPr>
          <t xml:space="preserve">
Total Payables
</t>
        </r>
      </text>
    </comment>
    <comment ref="L51" authorId="0" shapeId="0" xr:uid="{EDFAAEF3-2368-4E8C-8C45-FA756859CDD3}">
      <text>
        <r>
          <rPr>
            <b/>
            <sz val="9"/>
            <color indexed="81"/>
            <rFont val="Tahoma"/>
            <family val="2"/>
          </rPr>
          <t>Nihar Pundalik:</t>
        </r>
        <r>
          <rPr>
            <sz val="9"/>
            <color indexed="81"/>
            <rFont val="Tahoma"/>
            <family val="2"/>
          </rPr>
          <t xml:space="preserve">
Total Payables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Nihar Pundalik</author>
  </authors>
  <commentList>
    <comment ref="A62" authorId="0" shapeId="0" xr:uid="{AEC7C43D-30A8-4409-8C2B-9C4B22816E27}">
      <text>
        <r>
          <rPr>
            <b/>
            <sz val="9"/>
            <color indexed="81"/>
            <rFont val="Tahoma"/>
            <family val="2"/>
          </rPr>
          <t>Nihar Pundalik:</t>
        </r>
        <r>
          <rPr>
            <sz val="9"/>
            <color indexed="81"/>
            <rFont val="Tahoma"/>
            <family val="2"/>
          </rPr>
          <t xml:space="preserve">
In Other Income (Note)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Nihar Pundalik</author>
  </authors>
  <commentList>
    <comment ref="G8" authorId="0" shapeId="0" xr:uid="{9282B28F-BBB9-4409-86D5-B462C53606D8}">
      <text>
        <r>
          <rPr>
            <b/>
            <sz val="9"/>
            <color indexed="81"/>
            <rFont val="Tahoma"/>
            <family val="2"/>
          </rPr>
          <t>Nihar Pundalik:</t>
        </r>
        <r>
          <rPr>
            <sz val="9"/>
            <color indexed="81"/>
            <rFont val="Tahoma"/>
            <family val="2"/>
          </rPr>
          <t xml:space="preserve">
Total depriciation considered above
</t>
        </r>
      </text>
    </comment>
    <comment ref="H8" authorId="0" shapeId="0" xr:uid="{5C8ED030-1B22-43C9-AFC8-CDF5019B0494}">
      <text>
        <r>
          <rPr>
            <b/>
            <sz val="9"/>
            <color indexed="81"/>
            <rFont val="Tahoma"/>
            <family val="2"/>
          </rPr>
          <t>Nihar Pundalik:</t>
        </r>
        <r>
          <rPr>
            <sz val="9"/>
            <color indexed="81"/>
            <rFont val="Tahoma"/>
            <family val="2"/>
          </rPr>
          <t xml:space="preserve">
Total depriciation considered above
</t>
        </r>
      </text>
    </comment>
    <comment ref="I8" authorId="0" shapeId="0" xr:uid="{D045318B-FFE6-4880-A2C5-8EDF35CB2179}">
      <text>
        <r>
          <rPr>
            <b/>
            <sz val="9"/>
            <color indexed="81"/>
            <rFont val="Tahoma"/>
            <family val="2"/>
          </rPr>
          <t>Nihar Pundalik:</t>
        </r>
        <r>
          <rPr>
            <sz val="9"/>
            <color indexed="81"/>
            <rFont val="Tahoma"/>
            <family val="2"/>
          </rPr>
          <t xml:space="preserve">
Total depriciation considered above
</t>
        </r>
      </text>
    </comment>
    <comment ref="J8" authorId="0" shapeId="0" xr:uid="{AB3F25F8-AFA6-49EB-921F-FDEC00A457ED}">
      <text>
        <r>
          <rPr>
            <b/>
            <sz val="9"/>
            <color indexed="81"/>
            <rFont val="Tahoma"/>
            <family val="2"/>
          </rPr>
          <t>Nihar Pundalik:</t>
        </r>
        <r>
          <rPr>
            <sz val="9"/>
            <color indexed="81"/>
            <rFont val="Tahoma"/>
            <family val="2"/>
          </rPr>
          <t xml:space="preserve">
Total depriciation considered above
</t>
        </r>
      </text>
    </comment>
    <comment ref="K8" authorId="0" shapeId="0" xr:uid="{431FD208-78A6-4C23-A7A0-D15C469A2EFD}">
      <text>
        <r>
          <rPr>
            <b/>
            <sz val="9"/>
            <color indexed="81"/>
            <rFont val="Tahoma"/>
            <family val="2"/>
          </rPr>
          <t>Nihar Pundalik:</t>
        </r>
        <r>
          <rPr>
            <sz val="9"/>
            <color indexed="81"/>
            <rFont val="Tahoma"/>
            <family val="2"/>
          </rPr>
          <t xml:space="preserve">
Total depriciation considered above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935BF4-482F-4C65-BDA3-44AFD81A2500}" name="Connection" type="4" refreshedVersion="8" background="1" saveData="1">
    <webPr sourceData="1" parsePre="1" consecutive="1" url="https://finance.yahoo.com/quote/%5ENSEI/history/?frequency=1mo&amp;period1=1614793098&amp;period2=1772559485" htmlTables="1"/>
  </connection>
</connections>
</file>

<file path=xl/sharedStrings.xml><?xml version="1.0" encoding="utf-8"?>
<sst xmlns="http://schemas.openxmlformats.org/spreadsheetml/2006/main" count="788" uniqueCount="514">
  <si>
    <t>Particulars</t>
  </si>
  <si>
    <t>Assets</t>
  </si>
  <si>
    <t>Non-current assets</t>
  </si>
  <si>
    <t>(a) Property, plant and equipment</t>
  </si>
  <si>
    <t>(b) Capital work-in-progress</t>
  </si>
  <si>
    <t>(c) Right-of- use assets</t>
  </si>
  <si>
    <t>(d) Goodwill</t>
  </si>
  <si>
    <t>(e) Other intangible assets</t>
  </si>
  <si>
    <t>(f) Intangible assets under development</t>
  </si>
  <si>
    <t>(g) Financial assets</t>
  </si>
  <si>
    <t>(i) Investments</t>
  </si>
  <si>
    <t>(ii) Other financials etsas</t>
  </si>
  <si>
    <t>(h) Deferred tax assets (net)</t>
  </si>
  <si>
    <t>(i) Income tax as sets (net)</t>
  </si>
  <si>
    <t>(j) Other non-current assets</t>
  </si>
  <si>
    <t>Total non-current assets</t>
  </si>
  <si>
    <t>Current assets</t>
  </si>
  <si>
    <t>(a) Inventories</t>
  </si>
  <si>
    <t>(b) Financial assets</t>
  </si>
  <si>
    <t>(ii) Trade receivables</t>
  </si>
  <si>
    <t>(iii) Cash and cash equiv alents</t>
  </si>
  <si>
    <t>(iv) Bank balanc es other than (iii) abo ve</t>
  </si>
  <si>
    <t>(c) Other current assets</t>
  </si>
  <si>
    <t>Total current assets</t>
  </si>
  <si>
    <t>Total</t>
  </si>
  <si>
    <t>Equity and Liabilities</t>
  </si>
  <si>
    <t>Equity</t>
  </si>
  <si>
    <t>a) Equity share capital</t>
  </si>
  <si>
    <t>b) Other equity</t>
  </si>
  <si>
    <t>Total Equity attributable to Equity Share holders</t>
  </si>
  <si>
    <t>Liabilities</t>
  </si>
  <si>
    <t>Non-current liabilities</t>
  </si>
  <si>
    <t>a) Financial liabiltiies</t>
  </si>
  <si>
    <t>(i) Lease liabilities</t>
  </si>
  <si>
    <t>b) Provisions</t>
  </si>
  <si>
    <t>c) Other non current liabilities</t>
  </si>
  <si>
    <t>Total Non-current liabilities</t>
  </si>
  <si>
    <t>Current liabilities</t>
  </si>
  <si>
    <t>(a) Financial liabilities</t>
  </si>
  <si>
    <t>(ii) Trade Payables</t>
  </si>
  <si>
    <t>(iii) Other Financial liabilities</t>
  </si>
  <si>
    <t>(b) Provisions</t>
  </si>
  <si>
    <t>(c) Other current liabilities</t>
  </si>
  <si>
    <t>Total current liabilities</t>
  </si>
  <si>
    <t>(v)Loan</t>
  </si>
  <si>
    <t>-</t>
  </si>
  <si>
    <t>Checksum</t>
  </si>
  <si>
    <t xml:space="preserve">Particulars </t>
  </si>
  <si>
    <t>ATM Cash shortage and claims provision</t>
  </si>
  <si>
    <t>Finance income</t>
  </si>
  <si>
    <t>Finance costs</t>
  </si>
  <si>
    <t>(v) Other financial assets</t>
  </si>
  <si>
    <t>Dues of MSME</t>
  </si>
  <si>
    <t>Dues to creditors other than MSME</t>
  </si>
  <si>
    <t>Revenue from operations</t>
  </si>
  <si>
    <t>COGS</t>
  </si>
  <si>
    <t>Purchase of traded goods</t>
  </si>
  <si>
    <t xml:space="preserve">Gross Profit </t>
  </si>
  <si>
    <t>Total COGS</t>
  </si>
  <si>
    <t>Depreciation and amtz. expenses</t>
  </si>
  <si>
    <t>OPEX</t>
  </si>
  <si>
    <t>Changes in inventories of finished goods</t>
  </si>
  <si>
    <t>Conveyance and traveling expenses</t>
  </si>
  <si>
    <t>Service and security charges</t>
  </si>
  <si>
    <t>Vehicle maintenance, hire and fuel cost</t>
  </si>
  <si>
    <t>Consumption of stores and spares</t>
  </si>
  <si>
    <t>Annual maintenance charges</t>
  </si>
  <si>
    <t>Legal, professional and consultancy fees</t>
  </si>
  <si>
    <t>Courier , freight and forwarding charges</t>
  </si>
  <si>
    <t>Power and electricity charges</t>
  </si>
  <si>
    <t>Insurance</t>
  </si>
  <si>
    <t>Communication costs</t>
  </si>
  <si>
    <t>Trade receivables written off</t>
  </si>
  <si>
    <t>Less : Out of the provision of earlier years</t>
  </si>
  <si>
    <t>Impairment allowance for bad and doubtful receivables and deposits</t>
  </si>
  <si>
    <t>Cash disposal charges</t>
  </si>
  <si>
    <t>Insurance Claims recievables written off</t>
  </si>
  <si>
    <t>Impairment allowance for doubtful insurance claims</t>
  </si>
  <si>
    <t>Advances and other Debit balance written off</t>
  </si>
  <si>
    <t>Cash lost in transit</t>
  </si>
  <si>
    <t>Repairs and maintenance- Building</t>
  </si>
  <si>
    <t>Repairs and maintenance- Plant and Machinery</t>
  </si>
  <si>
    <t>Repairs and maintenance- Others</t>
  </si>
  <si>
    <t>Payment to auditors</t>
  </si>
  <si>
    <t>As auditors:</t>
  </si>
  <si>
    <t>Expenditure on corporate social responsibility (Refer Note 34)</t>
  </si>
  <si>
    <t>Miscellaneous expenses</t>
  </si>
  <si>
    <t>Audit fees</t>
  </si>
  <si>
    <t>Reimbursement of expenses</t>
  </si>
  <si>
    <t>Total OPEX</t>
  </si>
  <si>
    <t>EBIT</t>
  </si>
  <si>
    <t>EBITDA</t>
  </si>
  <si>
    <t xml:space="preserve">Net Interst Cost </t>
  </si>
  <si>
    <t xml:space="preserve">EBT </t>
  </si>
  <si>
    <t xml:space="preserve">Non Operating </t>
  </si>
  <si>
    <t>EBT (Total)</t>
  </si>
  <si>
    <t xml:space="preserve">Total </t>
  </si>
  <si>
    <t xml:space="preserve">Taxes </t>
  </si>
  <si>
    <t>Net Profit</t>
  </si>
  <si>
    <t xml:space="preserve">Lease Rentals </t>
  </si>
  <si>
    <t>Foreign exchange loss (net)</t>
  </si>
  <si>
    <t>Employee benefits expense</t>
  </si>
  <si>
    <t xml:space="preserve">Total Revenue </t>
  </si>
  <si>
    <t xml:space="preserve">Growth </t>
  </si>
  <si>
    <t>Total Assets</t>
  </si>
  <si>
    <t xml:space="preserve">CSR Activities </t>
  </si>
  <si>
    <t xml:space="preserve">Contingent Liablities </t>
  </si>
  <si>
    <t xml:space="preserve">As % of Equity </t>
  </si>
  <si>
    <t xml:space="preserve">Goodwill </t>
  </si>
  <si>
    <t xml:space="preserve">Not Material </t>
  </si>
  <si>
    <t>Services</t>
  </si>
  <si>
    <t>Products</t>
  </si>
  <si>
    <t>Atm &amp; Atm Sites</t>
  </si>
  <si>
    <t>ATM and Cash management services</t>
  </si>
  <si>
    <t>AMC services</t>
  </si>
  <si>
    <t>Card Personalisation</t>
  </si>
  <si>
    <t>Growth --&gt;</t>
  </si>
  <si>
    <t xml:space="preserve"> </t>
  </si>
  <si>
    <t>Forecast</t>
  </si>
  <si>
    <t xml:space="preserve">Permanent Employees </t>
  </si>
  <si>
    <t xml:space="preserve">Total Employees </t>
  </si>
  <si>
    <t>NA</t>
  </si>
  <si>
    <t>SIPL</t>
  </si>
  <si>
    <t xml:space="preserve">Material </t>
  </si>
  <si>
    <t>200-250 cr</t>
  </si>
  <si>
    <t>Securitas</t>
  </si>
  <si>
    <t xml:space="preserve">Internal </t>
  </si>
  <si>
    <t>Marshall</t>
  </si>
  <si>
    <t>Quality</t>
  </si>
  <si>
    <t>2.805 cr</t>
  </si>
  <si>
    <t xml:space="preserve">Hemabh </t>
  </si>
  <si>
    <t>1 lakh</t>
  </si>
  <si>
    <t xml:space="preserve">Immaterial </t>
  </si>
  <si>
    <t>Not due</t>
  </si>
  <si>
    <t xml:space="preserve">Unbilled Revenue </t>
  </si>
  <si>
    <t>Less than 6</t>
  </si>
  <si>
    <t>6 months - 1 yr</t>
  </si>
  <si>
    <t>1-2 yr</t>
  </si>
  <si>
    <t>2-3 yr</t>
  </si>
  <si>
    <t>More than 3 yr</t>
  </si>
  <si>
    <t>Undisputed</t>
  </si>
  <si>
    <t>Disputed</t>
  </si>
  <si>
    <t xml:space="preserve">Loss Allowance </t>
  </si>
  <si>
    <t>Activity Ratios</t>
  </si>
  <si>
    <t>Inventory T/O</t>
  </si>
  <si>
    <t>Inventory Days</t>
  </si>
  <si>
    <t>Avg inventory</t>
  </si>
  <si>
    <t xml:space="preserve">Inventory </t>
  </si>
  <si>
    <t>Payable Turnover</t>
  </si>
  <si>
    <t>Payable Days</t>
  </si>
  <si>
    <t>Avg payables</t>
  </si>
  <si>
    <t>Payables</t>
  </si>
  <si>
    <t>Recievable Turnover</t>
  </si>
  <si>
    <t>Recievable Days</t>
  </si>
  <si>
    <t>Avg receivables</t>
  </si>
  <si>
    <t>Recievable</t>
  </si>
  <si>
    <t>Operating Cycle</t>
  </si>
  <si>
    <t>Cash Conversion Cycle</t>
  </si>
  <si>
    <t>Liquidity Ratios</t>
  </si>
  <si>
    <t>Current Ratio</t>
  </si>
  <si>
    <t>Quick Ratio</t>
  </si>
  <si>
    <t>Solvency Ratios</t>
  </si>
  <si>
    <t>D/E</t>
  </si>
  <si>
    <t>Debt to Capital</t>
  </si>
  <si>
    <t>Financial Leverage</t>
  </si>
  <si>
    <t>Interest Coverage</t>
  </si>
  <si>
    <t>Profitability Ratios</t>
  </si>
  <si>
    <t>Gross Profit Margin</t>
  </si>
  <si>
    <t>EBITDA Margin</t>
  </si>
  <si>
    <t>Operating Profit Margin</t>
  </si>
  <si>
    <t>Net Profit Margin</t>
  </si>
  <si>
    <t>ROE</t>
  </si>
  <si>
    <t>Return On Total Capital</t>
  </si>
  <si>
    <t>Du Pont Analysis</t>
  </si>
  <si>
    <t>Asset Turnover</t>
  </si>
  <si>
    <t xml:space="preserve">Forecast </t>
  </si>
  <si>
    <t>debt</t>
  </si>
  <si>
    <t>Capital</t>
  </si>
  <si>
    <t>Asset</t>
  </si>
  <si>
    <t>Ebit - Tax</t>
  </si>
  <si>
    <t>Securens</t>
  </si>
  <si>
    <t>10x Ebitda</t>
  </si>
  <si>
    <t xml:space="preserve">M&amp;D </t>
  </si>
  <si>
    <t>13-14%</t>
  </si>
  <si>
    <t xml:space="preserve">Orders </t>
  </si>
  <si>
    <t>25 H1</t>
  </si>
  <si>
    <t>25 H2</t>
  </si>
  <si>
    <t>26 H1</t>
  </si>
  <si>
    <t>Pvt Banks</t>
  </si>
  <si>
    <t>Public &amp; Retail</t>
  </si>
  <si>
    <t xml:space="preserve">Total Retail Points </t>
  </si>
  <si>
    <t>Unorg</t>
  </si>
  <si>
    <t>Org</t>
  </si>
  <si>
    <t>Outsour.</t>
  </si>
  <si>
    <t>Cash Manag.</t>
  </si>
  <si>
    <t xml:space="preserve">Vision Ai </t>
  </si>
  <si>
    <t xml:space="preserve">Monitoring </t>
  </si>
  <si>
    <t>Total Branches</t>
  </si>
  <si>
    <t xml:space="preserve">Potential </t>
  </si>
  <si>
    <t>Dark Stores</t>
  </si>
  <si>
    <t>Current</t>
  </si>
  <si>
    <t xml:space="preserve">Goal </t>
  </si>
  <si>
    <t xml:space="preserve">Cash </t>
  </si>
  <si>
    <t>10-13%</t>
  </si>
  <si>
    <t>MS</t>
  </si>
  <si>
    <t>25-30%</t>
  </si>
  <si>
    <t>Q1</t>
  </si>
  <si>
    <t>Q2</t>
  </si>
  <si>
    <t>14-17%</t>
  </si>
  <si>
    <t xml:space="preserve">Capex </t>
  </si>
  <si>
    <t>26'</t>
  </si>
  <si>
    <t>CWIP</t>
  </si>
  <si>
    <t>CR</t>
  </si>
  <si>
    <t xml:space="preserve">Ebit </t>
  </si>
  <si>
    <t>19-20%</t>
  </si>
  <si>
    <t>Revenue from Operations</t>
  </si>
  <si>
    <t>Revenue Growth</t>
  </si>
  <si>
    <t xml:space="preserve">COGS </t>
  </si>
  <si>
    <t>COGS Growth</t>
  </si>
  <si>
    <t>EBITDA Growth</t>
  </si>
  <si>
    <t>Net Income</t>
  </si>
  <si>
    <t>PAT Growth</t>
  </si>
  <si>
    <t>Non Operating Income</t>
  </si>
  <si>
    <t>Non Operating Income Growth</t>
  </si>
  <si>
    <t>% of Sales</t>
  </si>
  <si>
    <t>% of Net Income</t>
  </si>
  <si>
    <t>Interest Income</t>
  </si>
  <si>
    <t>Cash and cash equivalents</t>
  </si>
  <si>
    <t>Yields on Cash and cash equivalents</t>
  </si>
  <si>
    <t>Interest Expense</t>
  </si>
  <si>
    <t>Total Debt</t>
  </si>
  <si>
    <t>Interest Expense as % of Total Debt</t>
  </si>
  <si>
    <t>Miscellaneous Expenses</t>
  </si>
  <si>
    <t>Other Expenses</t>
  </si>
  <si>
    <t>Operating Profit (EBIT)</t>
  </si>
  <si>
    <t>Miscellaneous Expenses as % of Sales</t>
  </si>
  <si>
    <t>Miscellaneous Expenses as % of Operating Profit</t>
  </si>
  <si>
    <t>Other Expenses as % of Operating Profit</t>
  </si>
  <si>
    <t>Advertisement Expenses</t>
  </si>
  <si>
    <t>Revenue</t>
  </si>
  <si>
    <t>Advertisement Expenses as  % of Sales</t>
  </si>
  <si>
    <t>Executive Compensation (Including all Key Personnel)</t>
  </si>
  <si>
    <t>Executive Compensation as  % of Profit</t>
  </si>
  <si>
    <t>Dividend</t>
  </si>
  <si>
    <t>EPS</t>
  </si>
  <si>
    <t>Dividend Payout</t>
  </si>
  <si>
    <t>Tax Charge</t>
  </si>
  <si>
    <t>Accounting Tax</t>
  </si>
  <si>
    <t>Taxes Paid</t>
  </si>
  <si>
    <t>Difference</t>
  </si>
  <si>
    <t>Compare the accounting tax with actual tax paid</t>
  </si>
  <si>
    <t>If actual tax paid is very less compared to accounting profit,check the reason</t>
  </si>
  <si>
    <t>Check for interest Related to Taxes</t>
  </si>
  <si>
    <t>Auditor's Compensation</t>
  </si>
  <si>
    <t>Auditor's Compensation Growth</t>
  </si>
  <si>
    <t>Revenue growth</t>
  </si>
  <si>
    <t>Audit Fees</t>
  </si>
  <si>
    <t>% of Auditor's Compensation</t>
  </si>
  <si>
    <t>Auditor size compared to company size</t>
  </si>
  <si>
    <t>Trade Receivables</t>
  </si>
  <si>
    <t>Trade Receivables Growth</t>
  </si>
  <si>
    <t>Reserve for Doubtful Debts</t>
  </si>
  <si>
    <t>RDD as % of Trade Receivables</t>
  </si>
  <si>
    <t>Ageing Analysis of Trade Receivables</t>
  </si>
  <si>
    <t>Accounts Payable</t>
  </si>
  <si>
    <t>Accounts Payable Growth</t>
  </si>
  <si>
    <t>Inventories</t>
  </si>
  <si>
    <t>Inventories Growth</t>
  </si>
  <si>
    <t>Aggressive Sales push through credit easing</t>
  </si>
  <si>
    <t>Inventroy Breakup</t>
  </si>
  <si>
    <t>Raw Materials</t>
  </si>
  <si>
    <t>RM Growth</t>
  </si>
  <si>
    <t>WIP</t>
  </si>
  <si>
    <t>WIP Growth</t>
  </si>
  <si>
    <t>Total Raw material + WIP</t>
  </si>
  <si>
    <t>Weightage</t>
  </si>
  <si>
    <t>Finished Goods</t>
  </si>
  <si>
    <t>Finished Goods Growth</t>
  </si>
  <si>
    <t>Stock-in-Trade</t>
  </si>
  <si>
    <t>Stores and Spares including Fuel</t>
  </si>
  <si>
    <t>Total Actual  Finished Goods</t>
  </si>
  <si>
    <t>Inventory Turnover</t>
  </si>
  <si>
    <t>Receivable Days</t>
  </si>
  <si>
    <t>PP&amp;E</t>
  </si>
  <si>
    <t>PP&amp;E as % of Total Assets</t>
  </si>
  <si>
    <t>Capital WIP</t>
  </si>
  <si>
    <t>Gross Block</t>
  </si>
  <si>
    <t>Capital WIP as % of Gross Block</t>
  </si>
  <si>
    <t>Depreciation</t>
  </si>
  <si>
    <t>Tangible Asset</t>
  </si>
  <si>
    <t>Depreciation as % of  Tangible Asset</t>
  </si>
  <si>
    <t>Depreciation Policy</t>
  </si>
  <si>
    <t>SLM</t>
  </si>
  <si>
    <t>Check for Fixed Asset Turnover</t>
  </si>
  <si>
    <t>Compare it with Bata</t>
  </si>
  <si>
    <t>Company does not pay import duties</t>
  </si>
  <si>
    <t>Check for Capitalised Expense</t>
  </si>
  <si>
    <t>Non Current Assets</t>
  </si>
  <si>
    <t>Non Current Assets Less PP&amp;E</t>
  </si>
  <si>
    <t>Non Current Assets Less PP&amp;E as % of Total Assets</t>
  </si>
  <si>
    <t>Capitalised R&amp;D</t>
  </si>
  <si>
    <t>Revaluation Reserve</t>
  </si>
  <si>
    <t>Total Equity</t>
  </si>
  <si>
    <t>Revaluation Reserve as % of Equity</t>
  </si>
  <si>
    <t>Pension Accounting</t>
  </si>
  <si>
    <t>Discount Rate Assumption</t>
  </si>
  <si>
    <t>Expected Return on Planned Assets</t>
  </si>
  <si>
    <t>Rate of Salary Increase</t>
  </si>
  <si>
    <t>Plundering of Funds</t>
  </si>
  <si>
    <t>Planned Assets</t>
  </si>
  <si>
    <t>PVDBO</t>
  </si>
  <si>
    <t>Net Surplus/  Deficit</t>
  </si>
  <si>
    <t>Goodwill</t>
  </si>
  <si>
    <t>Goodwill as % of Equity</t>
  </si>
  <si>
    <t>Acquisition</t>
  </si>
  <si>
    <t>Check for Provisions created on Liability Side</t>
  </si>
  <si>
    <t>Check for Write downs</t>
  </si>
  <si>
    <t>If Net Asset value (Of Target is static or moves downwhile profit is going up,  Red Flag)</t>
  </si>
  <si>
    <t>Related Party Transactions</t>
  </si>
  <si>
    <t>Related to  subsidiaries, associates, JV, Management Personnel, relatives</t>
  </si>
  <si>
    <t>Guarantees and Collaterals taken</t>
  </si>
  <si>
    <t>Off Balance Sheet Item</t>
  </si>
  <si>
    <t>Guarantees and Collaterals as % of  Net Worth</t>
  </si>
  <si>
    <t>ESOP (No. of Shares)</t>
  </si>
  <si>
    <t>Contingent Liability and commitments (Off Balance sheet Liability)</t>
  </si>
  <si>
    <t>Contingent Liability</t>
  </si>
  <si>
    <t>Networth (Equity)</t>
  </si>
  <si>
    <t>% of Equity</t>
  </si>
  <si>
    <t>Capital Commitments</t>
  </si>
  <si>
    <t>Export Obligation under Export Promotion Capital Goods (EPCG) scheme</t>
  </si>
  <si>
    <t>Duty Saved</t>
  </si>
  <si>
    <t>Obligation</t>
  </si>
  <si>
    <t>Minimum Sales over the period should be 100cr export else it will be a big risk</t>
  </si>
  <si>
    <t>ESOP</t>
  </si>
  <si>
    <t>No. of Shares</t>
  </si>
  <si>
    <t>ESOP as % of No. of Shares</t>
  </si>
  <si>
    <t>Increase in Bank Overdraft</t>
  </si>
  <si>
    <t>Assets being pledged</t>
  </si>
  <si>
    <t>Increase in Total Equity in 10 Years</t>
  </si>
  <si>
    <t>Retained Earnings + Capital Raised</t>
  </si>
  <si>
    <t>Should be almost be equal</t>
  </si>
  <si>
    <t>Fluctuations in DTA/DTL</t>
  </si>
  <si>
    <t>CFO Before Taxes</t>
  </si>
  <si>
    <t>CFO Growth</t>
  </si>
  <si>
    <t>Free Cash Flow</t>
  </si>
  <si>
    <t>Sales</t>
  </si>
  <si>
    <t>Free Cash as  % of Revenue (FCF/Sales)</t>
  </si>
  <si>
    <t>CFO After Taxes</t>
  </si>
  <si>
    <t>CFO growth</t>
  </si>
  <si>
    <t xml:space="preserve">Net Income Growth </t>
  </si>
  <si>
    <t>EBITDA After Taxes</t>
  </si>
  <si>
    <t>EBITDA growth</t>
  </si>
  <si>
    <t>CFO/EBITDA (After Taxes)</t>
  </si>
  <si>
    <t>CFO/EBITDA (Before Taxes)</t>
  </si>
  <si>
    <t>Capex</t>
  </si>
  <si>
    <t>Capex as % of Cfo</t>
  </si>
  <si>
    <t>Dividends</t>
  </si>
  <si>
    <t>Dividends as % of Cfo</t>
  </si>
  <si>
    <t>Cumulative CFO Before Tax</t>
  </si>
  <si>
    <t xml:space="preserve">Cumulative EBITDA </t>
  </si>
  <si>
    <t>In other matters</t>
  </si>
  <si>
    <t xml:space="preserve">ATM Cash shortage and claims </t>
  </si>
  <si>
    <t>Cash flow from operating activities</t>
  </si>
  <si>
    <t>Profit before tax</t>
  </si>
  <si>
    <t>Adjustments to reconcile profit before tax to net cash flow:</t>
  </si>
  <si>
    <t>Depreciation on Right-of-use assets</t>
  </si>
  <si>
    <t>Unrealised foreign exchange (gain) / loss</t>
  </si>
  <si>
    <t>Lease rent concession</t>
  </si>
  <si>
    <t>Bad debts written off</t>
  </si>
  <si>
    <t>Debit balance written off</t>
  </si>
  <si>
    <t>Sundry balances written back</t>
  </si>
  <si>
    <t>Impairment for doubtful claims receivables</t>
  </si>
  <si>
    <t>Insurance claims recievables written off</t>
  </si>
  <si>
    <t>Profit on sale of current investments</t>
  </si>
  <si>
    <t>Employee stock option compensation cost</t>
  </si>
  <si>
    <t>Operating profit before working capital changes</t>
  </si>
  <si>
    <t>Depreciation and amortisation on PP&amp;E and Intangible asset</t>
  </si>
  <si>
    <t>(Profit) on disposal of PP&amp;E (net)</t>
  </si>
  <si>
    <t>Net change in FV of current investments measured at FVTPL</t>
  </si>
  <si>
    <t>Impairment allowance for bad and receivables and deposits</t>
  </si>
  <si>
    <t>Movement in working capital :</t>
  </si>
  <si>
    <t>(Decrease) / Increase in trade payables and other liabilities</t>
  </si>
  <si>
    <t>Increase in provisions</t>
  </si>
  <si>
    <t>Decrease / (Increase) in inventories</t>
  </si>
  <si>
    <t>(Increase) in trade receivables</t>
  </si>
  <si>
    <t>(Increase) / Decrease in other assets and prepayments</t>
  </si>
  <si>
    <t>Direct taxes paid (net of refunds)</t>
  </si>
  <si>
    <t>Net cash flow generated from operating activities (A)</t>
  </si>
  <si>
    <t>Cash flows from investing activities</t>
  </si>
  <si>
    <t>Proceeds from sale of property, plant and equipment</t>
  </si>
  <si>
    <t>Investment in mutual funds</t>
  </si>
  <si>
    <t>Proceeds from redemption of mutual funds</t>
  </si>
  <si>
    <t>Loan given to Others</t>
  </si>
  <si>
    <t>Investment in deposits with banks</t>
  </si>
  <si>
    <t>Proceeds from maturity of deposits with banks (including interest)</t>
  </si>
  <si>
    <t>Net cash flow (used in) investing activities (B)</t>
  </si>
  <si>
    <t>Purchase of PPE,Intangible assets (including CWIP capital advances)</t>
  </si>
  <si>
    <t>Cash flows from financing activities</t>
  </si>
  <si>
    <t>Proceeds from issue of equity shares</t>
  </si>
  <si>
    <t>Dividend paid</t>
  </si>
  <si>
    <t>Finance costs on lease liability</t>
  </si>
  <si>
    <t>Payment of principal portion of lease liabilities</t>
  </si>
  <si>
    <t>Net cash flow generated / (used in) financing activities (C)</t>
  </si>
  <si>
    <t>Net Decrease in cash and cash equivalents (A+B+C)</t>
  </si>
  <si>
    <t>Cash and cash equivalents at the beginning of the year</t>
  </si>
  <si>
    <t>Cash and cash equivalents at the end of the year ( Refer note 12 )</t>
  </si>
  <si>
    <t>Net gain on lease modification</t>
  </si>
  <si>
    <t>Interest received</t>
  </si>
  <si>
    <t>COMPARE WITH COMPETITOR</t>
  </si>
  <si>
    <t xml:space="preserve">Inventory day </t>
  </si>
  <si>
    <t>ccc</t>
  </si>
  <si>
    <t>receivables and days</t>
  </si>
  <si>
    <t>6.7%-7.15%</t>
  </si>
  <si>
    <t>5%-6%</t>
  </si>
  <si>
    <t>6.25%-6.6%</t>
  </si>
  <si>
    <t>Assumptions</t>
  </si>
  <si>
    <t>Servicebusiness</t>
  </si>
  <si>
    <t>Nil</t>
  </si>
  <si>
    <t xml:space="preserve">Dividend </t>
  </si>
  <si>
    <t>No. of Shares Outstanding</t>
  </si>
  <si>
    <t>CFO Before Tax</t>
  </si>
  <si>
    <t>Cumulative CFO After Tax</t>
  </si>
  <si>
    <t>Growth</t>
  </si>
  <si>
    <t>Immaterial</t>
  </si>
  <si>
    <t>cr</t>
  </si>
  <si>
    <t>Rev</t>
  </si>
  <si>
    <t>100-150 cr</t>
  </si>
  <si>
    <t>Opening</t>
  </si>
  <si>
    <t xml:space="preserve">Additions </t>
  </si>
  <si>
    <t>Deletions</t>
  </si>
  <si>
    <t>Closing</t>
  </si>
  <si>
    <t>Depriciation</t>
  </si>
  <si>
    <t>Deletion</t>
  </si>
  <si>
    <t>Net Carrying Value</t>
  </si>
  <si>
    <t>Depri%</t>
  </si>
  <si>
    <t>Gross Carrying Amount</t>
  </si>
  <si>
    <t xml:space="preserve">PP&amp;E </t>
  </si>
  <si>
    <t>INTANGIBLE ASSETS</t>
  </si>
  <si>
    <t>Amortization</t>
  </si>
  <si>
    <t>Right-Of-Use Assets</t>
  </si>
  <si>
    <t>Debt Schedule</t>
  </si>
  <si>
    <t>Interest Exp</t>
  </si>
  <si>
    <t>Opening Bal. of Borrowings</t>
  </si>
  <si>
    <t xml:space="preserve">Add. In Lease Liability </t>
  </si>
  <si>
    <t>Net Cash Flow (CFF)</t>
  </si>
  <si>
    <t>Effect of G&amp;L to Foreign Exc.</t>
  </si>
  <si>
    <t>Closing Bal. of Borrowings</t>
  </si>
  <si>
    <t xml:space="preserve">Repayment of Principal </t>
  </si>
  <si>
    <t>Finance cost incl. interest on Lease Liabilities</t>
  </si>
  <si>
    <t>Fixed Deposit Interest</t>
  </si>
  <si>
    <t>Balance in fixed deposit</t>
  </si>
  <si>
    <t>mn</t>
  </si>
  <si>
    <t>Recievables</t>
  </si>
  <si>
    <t>Provision for Receivable Opening</t>
  </si>
  <si>
    <t>Additions</t>
  </si>
  <si>
    <t>Written off</t>
  </si>
  <si>
    <t>Net re-measurement of loss allowances</t>
  </si>
  <si>
    <t>Provision for Other assets &amp; Insurance Opening</t>
  </si>
  <si>
    <t>Dividends as % of Net Profit</t>
  </si>
  <si>
    <t xml:space="preserve">Retained Earnings </t>
  </si>
  <si>
    <t>Provision for ATM cash shortage and claims</t>
  </si>
  <si>
    <t>Total Provisions</t>
  </si>
  <si>
    <t>Change in provision (B/S)</t>
  </si>
  <si>
    <t xml:space="preserve">Additions for the year </t>
  </si>
  <si>
    <t>Provisions(Noncurrent)</t>
  </si>
  <si>
    <t>For gratuity</t>
  </si>
  <si>
    <t>For compensated absences</t>
  </si>
  <si>
    <t>Provision for ATM cash shortage and claims *</t>
  </si>
  <si>
    <t>Provisions (Current)</t>
  </si>
  <si>
    <t>Provision for Receivables</t>
  </si>
  <si>
    <t>Provision for Other assets and Insurance</t>
  </si>
  <si>
    <t>Total Current</t>
  </si>
  <si>
    <t>Total Noncurrent</t>
  </si>
  <si>
    <t>Profit on sale of current investments(net)</t>
  </si>
  <si>
    <t>Net change in fair value of current investments measured at FVTPL</t>
  </si>
  <si>
    <t>Net gain on disposal of property, plant and equipment</t>
  </si>
  <si>
    <t>Foreign exchange gain (net)</t>
  </si>
  <si>
    <t>Others</t>
  </si>
  <si>
    <t xml:space="preserve">Total Other income </t>
  </si>
  <si>
    <t>Sundry credit balances written back</t>
  </si>
  <si>
    <t>CFO</t>
  </si>
  <si>
    <t>FCFF</t>
  </si>
  <si>
    <t>WACC</t>
  </si>
  <si>
    <t>Value Of Firm</t>
  </si>
  <si>
    <t>Debt</t>
  </si>
  <si>
    <t>Date</t>
  </si>
  <si>
    <t xml:space="preserve">Adj Close </t>
  </si>
  <si>
    <t>Dividend yeild</t>
  </si>
  <si>
    <t>Capital Return(YOY)</t>
  </si>
  <si>
    <t>Drift</t>
  </si>
  <si>
    <t>Sale of PP&amp;E</t>
  </si>
  <si>
    <t>Cost of Debt</t>
  </si>
  <si>
    <t xml:space="preserve">Cost of Equity </t>
  </si>
  <si>
    <t xml:space="preserve">Rfr </t>
  </si>
  <si>
    <t xml:space="preserve">Market Return </t>
  </si>
  <si>
    <t xml:space="preserve">Beta </t>
  </si>
  <si>
    <t>CMP</t>
  </si>
  <si>
    <t>n</t>
  </si>
  <si>
    <t>Total Capital</t>
  </si>
  <si>
    <t>Covariance</t>
  </si>
  <si>
    <t>Variance</t>
  </si>
  <si>
    <t>Beta</t>
  </si>
  <si>
    <t>Weightage Debt</t>
  </si>
  <si>
    <t>Weightage Equity</t>
  </si>
  <si>
    <t>Less: BV of Debt</t>
  </si>
  <si>
    <t>Add:Cash</t>
  </si>
  <si>
    <t>Intrensic Value of Equity</t>
  </si>
  <si>
    <t>No. of shares</t>
  </si>
  <si>
    <t>Balance</t>
  </si>
  <si>
    <t>Write back</t>
  </si>
  <si>
    <t>Remeasure</t>
  </si>
  <si>
    <t>transfer</t>
  </si>
  <si>
    <t xml:space="preserve">Receivables </t>
  </si>
  <si>
    <t>Intrinsic value 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</si>
</sst>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_ * #,##0.00_ ;_ * \-#,##0.00_ ;_ * &quot;-&quot;??_ ;_ @_ "/>
    <numFmt numFmtId="165" formatCode="&quot;$&quot;#,##0.00"/>
    <numFmt numFmtId="166" formatCode="0.0"/>
    <numFmt numFmtId="167" formatCode="yyyy\-mm\-dd\ hh:mm:ss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rgb="FF5A5A5A"/>
      <name val="Open_sansregula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9" fillId="0" borderId="0" applyFont="0" applyFill="0" applyBorder="0" applyAlignment="0" applyProtection="0"/>
    <xf numFmtId="165" fontId="10" fillId="0" borderId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253">
    <xf numFmtId="0" fontId="0" fillId="0" borderId="0" xfId="0"/>
    <xf numFmtId="0" fontId="1" fillId="0" borderId="0" xfId="0" applyFont="1"/>
    <xf numFmtId="4" fontId="0" fillId="0" borderId="0" xfId="0" applyNumberFormat="1"/>
    <xf numFmtId="0" fontId="2" fillId="0" borderId="0" xfId="0" applyFont="1"/>
    <xf numFmtId="0" fontId="1" fillId="0" borderId="1" xfId="0" applyFont="1" applyBorder="1"/>
    <xf numFmtId="4" fontId="1" fillId="0" borderId="1" xfId="0" applyNumberFormat="1" applyFont="1" applyBorder="1"/>
    <xf numFmtId="0" fontId="6" fillId="0" borderId="0" xfId="0" applyFont="1"/>
    <xf numFmtId="10" fontId="6" fillId="0" borderId="0" xfId="0" applyNumberFormat="1" applyFont="1"/>
    <xf numFmtId="10" fontId="0" fillId="0" borderId="0" xfId="0" applyNumberFormat="1"/>
    <xf numFmtId="0" fontId="7" fillId="0" borderId="0" xfId="0" applyFont="1"/>
    <xf numFmtId="10" fontId="7" fillId="0" borderId="0" xfId="0" applyNumberFormat="1" applyFont="1"/>
    <xf numFmtId="9" fontId="0" fillId="0" borderId="0" xfId="0" applyNumberFormat="1"/>
    <xf numFmtId="0" fontId="0" fillId="0" borderId="0" xfId="0" applyAlignment="1">
      <alignment horizontal="center"/>
    </xf>
    <xf numFmtId="10" fontId="1" fillId="0" borderId="0" xfId="0" applyNumberFormat="1" applyFont="1"/>
    <xf numFmtId="0" fontId="6" fillId="0" borderId="0" xfId="0" applyFont="1" applyAlignment="1">
      <alignment horizontal="center"/>
    </xf>
    <xf numFmtId="3" fontId="0" fillId="0" borderId="0" xfId="0" applyNumberFormat="1"/>
    <xf numFmtId="0" fontId="8" fillId="0" borderId="0" xfId="0" applyFont="1"/>
    <xf numFmtId="0" fontId="0" fillId="0" borderId="3" xfId="0" applyBorder="1"/>
    <xf numFmtId="4" fontId="0" fillId="0" borderId="3" xfId="0" applyNumberFormat="1" applyBorder="1"/>
    <xf numFmtId="0" fontId="0" fillId="0" borderId="4" xfId="0" applyBorder="1"/>
    <xf numFmtId="4" fontId="0" fillId="0" borderId="4" xfId="0" applyNumberForma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2" fontId="0" fillId="0" borderId="0" xfId="0" applyNumberFormat="1"/>
    <xf numFmtId="2" fontId="6" fillId="0" borderId="0" xfId="0" applyNumberFormat="1" applyFont="1"/>
    <xf numFmtId="1" fontId="6" fillId="0" borderId="0" xfId="0" applyNumberFormat="1" applyFont="1"/>
    <xf numFmtId="2" fontId="1" fillId="0" borderId="0" xfId="0" applyNumberFormat="1" applyFont="1"/>
    <xf numFmtId="0" fontId="0" fillId="2" borderId="0" xfId="0" applyFill="1"/>
    <xf numFmtId="0" fontId="12" fillId="0" borderId="0" xfId="0" applyFont="1"/>
    <xf numFmtId="0" fontId="13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6" fillId="2" borderId="0" xfId="0" applyFont="1" applyFill="1"/>
    <xf numFmtId="0" fontId="1" fillId="2" borderId="0" xfId="0" applyFont="1" applyFill="1"/>
    <xf numFmtId="0" fontId="12" fillId="2" borderId="0" xfId="0" applyFont="1" applyFill="1"/>
    <xf numFmtId="10" fontId="0" fillId="3" borderId="3" xfId="0" applyNumberFormat="1" applyFill="1" applyBorder="1"/>
    <xf numFmtId="1" fontId="0" fillId="0" borderId="0" xfId="0" applyNumberFormat="1"/>
    <xf numFmtId="0" fontId="0" fillId="0" borderId="11" xfId="0" applyBorder="1"/>
    <xf numFmtId="4" fontId="0" fillId="0" borderId="11" xfId="0" applyNumberFormat="1" applyBorder="1"/>
    <xf numFmtId="4" fontId="1" fillId="0" borderId="3" xfId="0" applyNumberFormat="1" applyFont="1" applyBorder="1"/>
    <xf numFmtId="4" fontId="1" fillId="0" borderId="8" xfId="0" applyNumberFormat="1" applyFont="1" applyBorder="1"/>
    <xf numFmtId="0" fontId="1" fillId="0" borderId="11" xfId="0" applyFont="1" applyBorder="1"/>
    <xf numFmtId="0" fontId="1" fillId="0" borderId="7" xfId="0" applyFont="1" applyBorder="1"/>
    <xf numFmtId="0" fontId="1" fillId="0" borderId="3" xfId="0" applyFont="1" applyBorder="1"/>
    <xf numFmtId="0" fontId="0" fillId="0" borderId="3" xfId="0" applyBorder="1" applyAlignment="1">
      <alignment horizontal="center"/>
    </xf>
    <xf numFmtId="2" fontId="0" fillId="0" borderId="3" xfId="0" applyNumberFormat="1" applyBorder="1"/>
    <xf numFmtId="0" fontId="1" fillId="0" borderId="10" xfId="0" applyFont="1" applyBorder="1"/>
    <xf numFmtId="10" fontId="6" fillId="0" borderId="3" xfId="0" applyNumberFormat="1" applyFont="1" applyBorder="1"/>
    <xf numFmtId="4" fontId="1" fillId="0" borderId="14" xfId="0" applyNumberFormat="1" applyFont="1" applyBorder="1"/>
    <xf numFmtId="0" fontId="6" fillId="0" borderId="3" xfId="0" applyFont="1" applyBorder="1" applyAlignment="1">
      <alignment horizontal="center"/>
    </xf>
    <xf numFmtId="10" fontId="6" fillId="0" borderId="11" xfId="0" applyNumberFormat="1" applyFont="1" applyBorder="1"/>
    <xf numFmtId="10" fontId="0" fillId="0" borderId="11" xfId="0" applyNumberFormat="1" applyBorder="1"/>
    <xf numFmtId="0" fontId="6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66" fontId="0" fillId="0" borderId="0" xfId="0" applyNumberFormat="1"/>
    <xf numFmtId="0" fontId="3" fillId="0" borderId="0" xfId="0" applyFont="1"/>
    <xf numFmtId="2" fontId="1" fillId="0" borderId="1" xfId="0" applyNumberFormat="1" applyFont="1" applyBorder="1"/>
    <xf numFmtId="0" fontId="15" fillId="0" borderId="0" xfId="0" applyFont="1"/>
    <xf numFmtId="15" fontId="0" fillId="0" borderId="0" xfId="0" applyNumberFormat="1"/>
    <xf numFmtId="167" fontId="16" fillId="0" borderId="7" xfId="0" applyNumberFormat="1" applyFont="1" applyBorder="1" applyAlignment="1">
      <alignment horizontal="center" vertical="top"/>
    </xf>
    <xf numFmtId="2" fontId="1" fillId="0" borderId="14" xfId="0" applyNumberFormat="1" applyFont="1" applyBorder="1"/>
    <xf numFmtId="0" fontId="1" fillId="0" borderId="0" xfId="0" applyFont="1" applyAlignment="1">
      <alignment horizontal="center"/>
    </xf>
    <xf numFmtId="4" fontId="1" fillId="0" borderId="4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4" fontId="0" fillId="0" borderId="0" xfId="0" applyNumberFormat="1" applyFill="1"/>
    <xf numFmtId="0" fontId="0" fillId="0" borderId="0" xfId="0" applyFont="1"/>
    <xf numFmtId="0" fontId="1" fillId="0" borderId="0" xfId="0" applyFont="1" applyFill="1"/>
    <xf numFmtId="0" fontId="2" fillId="0" borderId="0" xfId="0" applyFont="1" applyFill="1"/>
    <xf numFmtId="0" fontId="0" fillId="0" borderId="0" xfId="0" applyFill="1" applyAlignment="1">
      <alignment horizontal="left" indent="1"/>
    </xf>
    <xf numFmtId="2" fontId="0" fillId="0" borderId="0" xfId="0" applyNumberFormat="1" applyFill="1"/>
    <xf numFmtId="0" fontId="1" fillId="0" borderId="1" xfId="0" applyFont="1" applyFill="1" applyBorder="1"/>
    <xf numFmtId="0" fontId="0" fillId="0" borderId="1" xfId="0" applyFill="1" applyBorder="1"/>
    <xf numFmtId="0" fontId="1" fillId="0" borderId="2" xfId="0" applyFont="1" applyFill="1" applyBorder="1"/>
    <xf numFmtId="0" fontId="0" fillId="0" borderId="2" xfId="0" applyFill="1" applyBorder="1"/>
    <xf numFmtId="0" fontId="0" fillId="4" borderId="0" xfId="0" applyFill="1"/>
    <xf numFmtId="0" fontId="2" fillId="4" borderId="0" xfId="0" applyFont="1" applyFill="1"/>
    <xf numFmtId="2" fontId="0" fillId="4" borderId="0" xfId="0" applyNumberFormat="1" applyFill="1"/>
    <xf numFmtId="4" fontId="1" fillId="4" borderId="1" xfId="0" applyNumberFormat="1" applyFont="1" applyFill="1" applyBorder="1"/>
    <xf numFmtId="0" fontId="1" fillId="0" borderId="0" xfId="0" applyFont="1" applyFill="1" applyBorder="1"/>
    <xf numFmtId="4" fontId="1" fillId="4" borderId="0" xfId="0" applyNumberFormat="1" applyFont="1" applyFill="1" applyBorder="1"/>
    <xf numFmtId="0" fontId="0" fillId="0" borderId="0" xfId="0" applyFill="1" applyBorder="1"/>
    <xf numFmtId="2" fontId="1" fillId="4" borderId="1" xfId="0" applyNumberFormat="1" applyFont="1" applyFill="1" applyBorder="1"/>
    <xf numFmtId="0" fontId="15" fillId="0" borderId="0" xfId="0" applyFont="1" applyFill="1"/>
    <xf numFmtId="10" fontId="0" fillId="0" borderId="0" xfId="0" applyNumberFormat="1" applyFill="1"/>
    <xf numFmtId="0" fontId="1" fillId="4" borderId="0" xfId="0" applyFont="1" applyFill="1"/>
    <xf numFmtId="0" fontId="1" fillId="0" borderId="15" xfId="0" applyFont="1" applyFill="1" applyBorder="1"/>
    <xf numFmtId="4" fontId="1" fillId="4" borderId="15" xfId="0" applyNumberFormat="1" applyFont="1" applyFill="1" applyBorder="1"/>
    <xf numFmtId="2" fontId="0" fillId="4" borderId="1" xfId="0" applyNumberFormat="1" applyFill="1" applyBorder="1"/>
    <xf numFmtId="0" fontId="7" fillId="4" borderId="0" xfId="0" applyFont="1" applyFill="1"/>
    <xf numFmtId="0" fontId="1" fillId="4" borderId="10" xfId="0" applyFont="1" applyFill="1" applyBorder="1"/>
    <xf numFmtId="0" fontId="1" fillId="0" borderId="10" xfId="0" applyFont="1" applyFill="1" applyBorder="1"/>
    <xf numFmtId="0" fontId="3" fillId="0" borderId="11" xfId="0" applyFont="1" applyFill="1" applyBorder="1"/>
    <xf numFmtId="0" fontId="0" fillId="0" borderId="3" xfId="0" applyFill="1" applyBorder="1"/>
    <xf numFmtId="0" fontId="1" fillId="0" borderId="11" xfId="0" applyFont="1" applyFill="1" applyBorder="1"/>
    <xf numFmtId="0" fontId="6" fillId="0" borderId="11" xfId="0" applyFont="1" applyFill="1" applyBorder="1"/>
    <xf numFmtId="4" fontId="0" fillId="0" borderId="3" xfId="0" applyNumberFormat="1" applyFill="1" applyBorder="1"/>
    <xf numFmtId="0" fontId="6" fillId="0" borderId="5" xfId="0" applyFont="1" applyFill="1" applyBorder="1"/>
    <xf numFmtId="0" fontId="0" fillId="0" borderId="9" xfId="0" applyFill="1" applyBorder="1"/>
    <xf numFmtId="2" fontId="0" fillId="0" borderId="9" xfId="0" applyNumberFormat="1" applyFill="1" applyBorder="1"/>
    <xf numFmtId="4" fontId="1" fillId="0" borderId="3" xfId="0" applyNumberFormat="1" applyFont="1" applyFill="1" applyBorder="1"/>
    <xf numFmtId="0" fontId="0" fillId="0" borderId="11" xfId="0" applyFill="1" applyBorder="1"/>
    <xf numFmtId="0" fontId="1" fillId="0" borderId="7" xfId="0" applyFont="1" applyFill="1" applyBorder="1"/>
    <xf numFmtId="4" fontId="1" fillId="0" borderId="8" xfId="0" applyNumberFormat="1" applyFont="1" applyFill="1" applyBorder="1"/>
    <xf numFmtId="0" fontId="2" fillId="0" borderId="11" xfId="0" applyFont="1" applyFill="1" applyBorder="1"/>
    <xf numFmtId="4" fontId="1" fillId="0" borderId="7" xfId="0" applyNumberFormat="1" applyFont="1" applyFill="1" applyBorder="1"/>
    <xf numFmtId="0" fontId="3" fillId="0" borderId="3" xfId="0" applyFont="1" applyFill="1" applyBorder="1"/>
    <xf numFmtId="0" fontId="0" fillId="0" borderId="4" xfId="0" applyFill="1" applyBorder="1"/>
    <xf numFmtId="0" fontId="1" fillId="0" borderId="3" xfId="0" applyFont="1" applyFill="1" applyBorder="1"/>
    <xf numFmtId="0" fontId="6" fillId="0" borderId="3" xfId="0" applyFont="1" applyFill="1" applyBorder="1"/>
    <xf numFmtId="4" fontId="0" fillId="0" borderId="11" xfId="0" applyNumberFormat="1" applyFill="1" applyBorder="1"/>
    <xf numFmtId="4" fontId="0" fillId="0" borderId="4" xfId="0" applyNumberFormat="1" applyFill="1" applyBorder="1"/>
    <xf numFmtId="0" fontId="6" fillId="0" borderId="9" xfId="0" applyFont="1" applyFill="1" applyBorder="1"/>
    <xf numFmtId="0" fontId="0" fillId="0" borderId="5" xfId="0" applyFill="1" applyBorder="1"/>
    <xf numFmtId="0" fontId="0" fillId="0" borderId="12" xfId="0" applyFill="1" applyBorder="1"/>
    <xf numFmtId="4" fontId="1" fillId="0" borderId="11" xfId="0" applyNumberFormat="1" applyFont="1" applyFill="1" applyBorder="1"/>
    <xf numFmtId="4" fontId="1" fillId="0" borderId="4" xfId="0" applyNumberFormat="1" applyFont="1" applyFill="1" applyBorder="1"/>
    <xf numFmtId="0" fontId="1" fillId="0" borderId="8" xfId="0" applyFont="1" applyFill="1" applyBorder="1"/>
    <xf numFmtId="4" fontId="1" fillId="0" borderId="13" xfId="0" applyNumberFormat="1" applyFont="1" applyFill="1" applyBorder="1"/>
    <xf numFmtId="0" fontId="6" fillId="0" borderId="0" xfId="0" applyFont="1" applyFill="1"/>
    <xf numFmtId="0" fontId="0" fillId="0" borderId="10" xfId="0" applyFill="1" applyBorder="1"/>
    <xf numFmtId="0" fontId="0" fillId="0" borderId="14" xfId="0" applyFill="1" applyBorder="1"/>
    <xf numFmtId="2" fontId="0" fillId="0" borderId="14" xfId="0" applyNumberFormat="1" applyFill="1" applyBorder="1"/>
    <xf numFmtId="2" fontId="0" fillId="0" borderId="3" xfId="0" applyNumberFormat="1" applyFill="1" applyBorder="1"/>
    <xf numFmtId="10" fontId="0" fillId="0" borderId="3" xfId="0" applyNumberFormat="1" applyFill="1" applyBorder="1"/>
    <xf numFmtId="0" fontId="1" fillId="0" borderId="14" xfId="0" applyFont="1" applyFill="1" applyBorder="1"/>
    <xf numFmtId="2" fontId="1" fillId="0" borderId="14" xfId="0" applyNumberFormat="1" applyFont="1" applyFill="1" applyBorder="1"/>
    <xf numFmtId="2" fontId="1" fillId="0" borderId="1" xfId="0" applyNumberFormat="1" applyFont="1" applyFill="1" applyBorder="1"/>
    <xf numFmtId="0" fontId="0" fillId="0" borderId="11" xfId="0" applyFill="1" applyBorder="1" applyAlignment="1">
      <alignment wrapText="1"/>
    </xf>
    <xf numFmtId="2" fontId="0" fillId="0" borderId="6" xfId="0" applyNumberFormat="1" applyFill="1" applyBorder="1"/>
    <xf numFmtId="0" fontId="1" fillId="6" borderId="6" xfId="0" applyFont="1" applyFill="1" applyBorder="1" applyAlignment="1">
      <alignment horizontal="center"/>
    </xf>
    <xf numFmtId="0" fontId="0" fillId="4" borderId="3" xfId="0" applyFill="1" applyBorder="1"/>
    <xf numFmtId="4" fontId="0" fillId="4" borderId="3" xfId="0" applyNumberFormat="1" applyFill="1" applyBorder="1"/>
    <xf numFmtId="0" fontId="0" fillId="4" borderId="9" xfId="0" applyFill="1" applyBorder="1"/>
    <xf numFmtId="2" fontId="0" fillId="4" borderId="9" xfId="0" applyNumberFormat="1" applyFill="1" applyBorder="1"/>
    <xf numFmtId="4" fontId="1" fillId="4" borderId="3" xfId="0" applyNumberFormat="1" applyFont="1" applyFill="1" applyBorder="1"/>
    <xf numFmtId="0" fontId="0" fillId="4" borderId="7" xfId="0" applyFill="1" applyBorder="1"/>
    <xf numFmtId="4" fontId="1" fillId="4" borderId="8" xfId="0" applyNumberFormat="1" applyFont="1" applyFill="1" applyBorder="1"/>
    <xf numFmtId="2" fontId="0" fillId="4" borderId="7" xfId="0" applyNumberFormat="1" applyFill="1" applyBorder="1"/>
    <xf numFmtId="4" fontId="1" fillId="4" borderId="7" xfId="0" applyNumberFormat="1" applyFont="1" applyFill="1" applyBorder="1"/>
    <xf numFmtId="2" fontId="0" fillId="4" borderId="14" xfId="0" applyNumberFormat="1" applyFill="1" applyBorder="1"/>
    <xf numFmtId="2" fontId="0" fillId="4" borderId="3" xfId="0" applyNumberFormat="1" applyFill="1" applyBorder="1"/>
    <xf numFmtId="10" fontId="0" fillId="4" borderId="3" xfId="0" applyNumberFormat="1" applyFill="1" applyBorder="1"/>
    <xf numFmtId="2" fontId="1" fillId="4" borderId="14" xfId="0" applyNumberFormat="1" applyFont="1" applyFill="1" applyBorder="1"/>
    <xf numFmtId="2" fontId="0" fillId="0" borderId="0" xfId="0" applyNumberFormat="1" applyFill="1" applyBorder="1"/>
    <xf numFmtId="2" fontId="0" fillId="4" borderId="0" xfId="0" applyNumberFormat="1" applyFill="1" applyBorder="1"/>
    <xf numFmtId="0" fontId="1" fillId="6" borderId="9" xfId="0" applyFont="1" applyFill="1" applyBorder="1" applyAlignment="1">
      <alignment horizontal="center"/>
    </xf>
    <xf numFmtId="0" fontId="0" fillId="4" borderId="0" xfId="0" applyFill="1" applyBorder="1"/>
    <xf numFmtId="10" fontId="0" fillId="0" borderId="0" xfId="0" applyNumberFormat="1" applyFill="1" applyBorder="1"/>
    <xf numFmtId="10" fontId="0" fillId="4" borderId="0" xfId="0" applyNumberFormat="1" applyFill="1" applyBorder="1"/>
    <xf numFmtId="0" fontId="6" fillId="0" borderId="0" xfId="0" applyFont="1" applyFill="1" applyBorder="1"/>
    <xf numFmtId="0" fontId="1" fillId="6" borderId="0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2" fillId="0" borderId="0" xfId="0" applyFont="1" applyFill="1" applyBorder="1"/>
    <xf numFmtId="0" fontId="2" fillId="4" borderId="0" xfId="0" applyFont="1" applyFill="1" applyBorder="1"/>
    <xf numFmtId="4" fontId="0" fillId="0" borderId="0" xfId="0" applyNumberFormat="1" applyFill="1" applyBorder="1"/>
    <xf numFmtId="4" fontId="0" fillId="4" borderId="0" xfId="0" applyNumberFormat="1" applyFill="1" applyBorder="1"/>
    <xf numFmtId="0" fontId="15" fillId="0" borderId="0" xfId="0" applyFont="1" applyFill="1" applyBorder="1"/>
    <xf numFmtId="2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1" fillId="4" borderId="0" xfId="0" applyFont="1" applyFill="1" applyBorder="1"/>
    <xf numFmtId="0" fontId="2" fillId="4" borderId="3" xfId="0" applyFont="1" applyFill="1" applyBorder="1"/>
    <xf numFmtId="2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" fontId="1" fillId="4" borderId="14" xfId="0" applyNumberFormat="1" applyFont="1" applyFill="1" applyBorder="1"/>
    <xf numFmtId="0" fontId="1" fillId="4" borderId="3" xfId="0" applyFont="1" applyFill="1" applyBorder="1"/>
    <xf numFmtId="4" fontId="1" fillId="4" borderId="16" xfId="0" applyNumberFormat="1" applyFont="1" applyFill="1" applyBorder="1"/>
    <xf numFmtId="0" fontId="0" fillId="4" borderId="1" xfId="0" applyFill="1" applyBorder="1"/>
    <xf numFmtId="0" fontId="2" fillId="0" borderId="3" xfId="0" applyFont="1" applyFill="1" applyBorder="1"/>
    <xf numFmtId="0" fontId="0" fillId="0" borderId="3" xfId="0" applyFill="1" applyBorder="1" applyAlignment="1">
      <alignment horizontal="center"/>
    </xf>
    <xf numFmtId="4" fontId="1" fillId="0" borderId="14" xfId="0" applyNumberFormat="1" applyFont="1" applyFill="1" applyBorder="1"/>
    <xf numFmtId="4" fontId="1" fillId="0" borderId="16" xfId="0" applyNumberFormat="1" applyFont="1" applyFill="1" applyBorder="1"/>
    <xf numFmtId="4" fontId="0" fillId="0" borderId="3" xfId="0" applyNumberFormat="1" applyFill="1" applyBorder="1" applyAlignment="1">
      <alignment horizontal="center"/>
    </xf>
    <xf numFmtId="0" fontId="2" fillId="0" borderId="3" xfId="0" applyFont="1" applyBorder="1"/>
    <xf numFmtId="4" fontId="6" fillId="0" borderId="3" xfId="0" applyNumberFormat="1" applyFont="1" applyBorder="1"/>
    <xf numFmtId="0" fontId="0" fillId="0" borderId="3" xfId="0" applyBorder="1" applyAlignment="1">
      <alignment horizontal="left" indent="2"/>
    </xf>
    <xf numFmtId="0" fontId="0" fillId="0" borderId="3" xfId="0" applyBorder="1" applyAlignment="1">
      <alignment horizontal="left" vertical="center" indent="2"/>
    </xf>
    <xf numFmtId="4" fontId="0" fillId="0" borderId="3" xfId="0" applyNumberFormat="1" applyBorder="1" applyAlignment="1">
      <alignment horizontal="left" indent="2"/>
    </xf>
    <xf numFmtId="10" fontId="7" fillId="0" borderId="3" xfId="0" applyNumberFormat="1" applyFont="1" applyBorder="1"/>
    <xf numFmtId="1" fontId="0" fillId="0" borderId="3" xfId="4" applyNumberFormat="1" applyFont="1" applyFill="1" applyBorder="1"/>
    <xf numFmtId="1" fontId="0" fillId="0" borderId="3" xfId="0" applyNumberFormat="1" applyBorder="1"/>
    <xf numFmtId="0" fontId="0" fillId="0" borderId="0" xfId="0" applyBorder="1"/>
    <xf numFmtId="0" fontId="2" fillId="0" borderId="0" xfId="0" applyFont="1" applyBorder="1"/>
    <xf numFmtId="4" fontId="0" fillId="0" borderId="0" xfId="0" applyNumberFormat="1" applyBorder="1"/>
    <xf numFmtId="10" fontId="6" fillId="0" borderId="0" xfId="0" applyNumberFormat="1" applyFont="1" applyBorder="1"/>
    <xf numFmtId="2" fontId="0" fillId="0" borderId="0" xfId="0" applyNumberFormat="1" applyBorder="1"/>
    <xf numFmtId="0" fontId="0" fillId="0" borderId="0" xfId="0" applyBorder="1" applyAlignment="1">
      <alignment horizontal="left" indent="2"/>
    </xf>
    <xf numFmtId="4" fontId="0" fillId="0" borderId="0" xfId="0" applyNumberFormat="1" applyBorder="1" applyAlignment="1">
      <alignment horizontal="left" indent="2"/>
    </xf>
    <xf numFmtId="10" fontId="0" fillId="0" borderId="0" xfId="0" applyNumberFormat="1" applyBorder="1"/>
    <xf numFmtId="0" fontId="0" fillId="0" borderId="0" xfId="0" applyBorder="1" applyAlignment="1">
      <alignment horizontal="center"/>
    </xf>
    <xf numFmtId="10" fontId="7" fillId="0" borderId="0" xfId="0" applyNumberFormat="1" applyFont="1" applyBorder="1"/>
    <xf numFmtId="1" fontId="0" fillId="0" borderId="0" xfId="0" applyNumberFormat="1" applyBorder="1"/>
    <xf numFmtId="0" fontId="0" fillId="0" borderId="3" xfId="0" applyFill="1" applyBorder="1" applyAlignment="1">
      <alignment horizontal="left" indent="2"/>
    </xf>
    <xf numFmtId="10" fontId="6" fillId="4" borderId="3" xfId="0" applyNumberFormat="1" applyFont="1" applyFill="1" applyBorder="1"/>
    <xf numFmtId="10" fontId="7" fillId="4" borderId="3" xfId="0" applyNumberFormat="1" applyFont="1" applyFill="1" applyBorder="1"/>
    <xf numFmtId="2" fontId="0" fillId="4" borderId="3" xfId="0" applyNumberFormat="1" applyFill="1" applyBorder="1" applyAlignment="1">
      <alignment horizontal="left" indent="2"/>
    </xf>
    <xf numFmtId="1" fontId="0" fillId="4" borderId="3" xfId="0" applyNumberFormat="1" applyFill="1" applyBorder="1"/>
    <xf numFmtId="0" fontId="1" fillId="0" borderId="15" xfId="0" applyFont="1" applyBorder="1"/>
    <xf numFmtId="2" fontId="1" fillId="0" borderId="16" xfId="0" applyNumberFormat="1" applyFont="1" applyBorder="1"/>
    <xf numFmtId="2" fontId="1" fillId="0" borderId="15" xfId="0" applyNumberFormat="1" applyFont="1" applyBorder="1"/>
    <xf numFmtId="2" fontId="1" fillId="4" borderId="16" xfId="0" applyNumberFormat="1" applyFont="1" applyFill="1" applyBorder="1"/>
    <xf numFmtId="0" fontId="1" fillId="0" borderId="0" xfId="0" applyFont="1" applyFill="1" applyAlignment="1">
      <alignment horizontal="center"/>
    </xf>
    <xf numFmtId="165" fontId="14" fillId="0" borderId="0" xfId="2" applyFont="1" applyFill="1" applyAlignment="1">
      <alignment horizontal="center"/>
    </xf>
    <xf numFmtId="165" fontId="14" fillId="4" borderId="5" xfId="2" applyFont="1" applyFill="1" applyBorder="1" applyAlignment="1">
      <alignment horizontal="center"/>
    </xf>
    <xf numFmtId="0" fontId="12" fillId="4" borderId="0" xfId="0" applyFont="1" applyFill="1"/>
    <xf numFmtId="0" fontId="6" fillId="4" borderId="0" xfId="0" applyFont="1" applyFill="1"/>
    <xf numFmtId="0" fontId="0" fillId="4" borderId="4" xfId="0" applyFill="1" applyBorder="1"/>
    <xf numFmtId="0" fontId="1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13" fillId="4" borderId="0" xfId="0" applyFont="1" applyFill="1"/>
    <xf numFmtId="0" fontId="0" fillId="0" borderId="3" xfId="0" applyBorder="1" applyAlignment="1">
      <alignment horizontal="center" vertical="center"/>
    </xf>
    <xf numFmtId="0" fontId="0" fillId="3" borderId="3" xfId="0" applyFill="1" applyBorder="1"/>
    <xf numFmtId="9" fontId="0" fillId="0" borderId="3" xfId="0" applyNumberFormat="1" applyBorder="1"/>
    <xf numFmtId="2" fontId="0" fillId="3" borderId="3" xfId="0" applyNumberFormat="1" applyFill="1" applyBorder="1"/>
    <xf numFmtId="0" fontId="0" fillId="0" borderId="3" xfId="0" applyBorder="1" applyAlignment="1">
      <alignment horizontal="right"/>
    </xf>
    <xf numFmtId="3" fontId="0" fillId="0" borderId="3" xfId="0" applyNumberFormat="1" applyBorder="1"/>
    <xf numFmtId="0" fontId="0" fillId="2" borderId="3" xfId="0" applyFill="1" applyBorder="1"/>
    <xf numFmtId="4" fontId="0" fillId="2" borderId="3" xfId="0" applyNumberFormat="1" applyFill="1" applyBorder="1"/>
    <xf numFmtId="0" fontId="0" fillId="4" borderId="11" xfId="0" applyFill="1" applyBorder="1"/>
    <xf numFmtId="2" fontId="6" fillId="4" borderId="3" xfId="0" applyNumberFormat="1" applyFont="1" applyFill="1" applyBorder="1"/>
    <xf numFmtId="2" fontId="1" fillId="4" borderId="3" xfId="0" applyNumberFormat="1" applyFont="1" applyFill="1" applyBorder="1"/>
    <xf numFmtId="2" fontId="1" fillId="4" borderId="11" xfId="0" applyNumberFormat="1" applyFont="1" applyFill="1" applyBorder="1"/>
    <xf numFmtId="2" fontId="1" fillId="4" borderId="8" xfId="0" applyNumberFormat="1" applyFont="1" applyFill="1" applyBorder="1"/>
    <xf numFmtId="0" fontId="2" fillId="0" borderId="7" xfId="0" applyFont="1" applyFill="1" applyBorder="1"/>
    <xf numFmtId="0" fontId="2" fillId="0" borderId="8" xfId="0" applyFont="1" applyFill="1" applyBorder="1"/>
    <xf numFmtId="0" fontId="2" fillId="4" borderId="8" xfId="0" applyFont="1" applyFill="1" applyBorder="1"/>
    <xf numFmtId="0" fontId="2" fillId="4" borderId="7" xfId="0" applyFont="1" applyFill="1" applyBorder="1"/>
    <xf numFmtId="0" fontId="2" fillId="0" borderId="3" xfId="0" applyFont="1" applyBorder="1" applyAlignment="1">
      <alignment horizontal="center"/>
    </xf>
    <xf numFmtId="2" fontId="0" fillId="0" borderId="11" xfId="0" applyNumberFormat="1" applyBorder="1"/>
    <xf numFmtId="0" fontId="2" fillId="0" borderId="11" xfId="0" applyFont="1" applyBorder="1" applyAlignment="1">
      <alignment horizontal="center"/>
    </xf>
    <xf numFmtId="2" fontId="1" fillId="5" borderId="17" xfId="0" applyNumberFormat="1" applyFont="1" applyFill="1" applyBorder="1"/>
    <xf numFmtId="0" fontId="0" fillId="4" borderId="14" xfId="0" applyFill="1" applyBorder="1"/>
    <xf numFmtId="2" fontId="0" fillId="0" borderId="11" xfId="0" applyNumberFormat="1" applyFill="1" applyBorder="1"/>
    <xf numFmtId="10" fontId="0" fillId="0" borderId="11" xfId="0" applyNumberFormat="1" applyFill="1" applyBorder="1"/>
    <xf numFmtId="2" fontId="0" fillId="0" borderId="5" xfId="0" applyNumberFormat="1" applyFill="1" applyBorder="1"/>
    <xf numFmtId="2" fontId="0" fillId="0" borderId="10" xfId="0" applyNumberFormat="1" applyFill="1" applyBorder="1"/>
    <xf numFmtId="2" fontId="0" fillId="4" borderId="11" xfId="0" applyNumberFormat="1" applyFill="1" applyBorder="1"/>
    <xf numFmtId="2" fontId="6" fillId="4" borderId="11" xfId="0" applyNumberFormat="1" applyFont="1" applyFill="1" applyBorder="1"/>
    <xf numFmtId="2" fontId="1" fillId="4" borderId="10" xfId="0" applyNumberFormat="1" applyFont="1" applyFill="1" applyBorder="1"/>
    <xf numFmtId="2" fontId="7" fillId="4" borderId="3" xfId="0" applyNumberFormat="1" applyFont="1" applyFill="1" applyBorder="1"/>
    <xf numFmtId="2" fontId="7" fillId="4" borderId="11" xfId="0" applyNumberFormat="1" applyFont="1" applyFill="1" applyBorder="1"/>
    <xf numFmtId="2" fontId="6" fillId="4" borderId="3" xfId="0" applyNumberFormat="1" applyFont="1" applyFill="1" applyBorder="1" applyAlignment="1">
      <alignment horizontal="center"/>
    </xf>
    <xf numFmtId="2" fontId="6" fillId="4" borderId="11" xfId="0" applyNumberFormat="1" applyFont="1" applyFill="1" applyBorder="1" applyAlignment="1">
      <alignment horizontal="center"/>
    </xf>
    <xf numFmtId="2" fontId="0" fillId="4" borderId="11" xfId="0" applyNumberFormat="1" applyFill="1" applyBorder="1" applyAlignment="1">
      <alignment horizontal="center"/>
    </xf>
    <xf numFmtId="2" fontId="1" fillId="4" borderId="7" xfId="0" applyNumberFormat="1" applyFont="1" applyFill="1" applyBorder="1"/>
  </cellXfs>
  <cellStyles count="5">
    <cellStyle name="Comma" xfId="4" builtinId="3"/>
    <cellStyle name="Comma 2" xfId="3" xr:uid="{6740010F-12EF-439E-B399-2A93206FBEDC}"/>
    <cellStyle name="Comma 3" xfId="1" xr:uid="{F92B0268-60C8-49E7-8650-E98D4A363C77}"/>
    <cellStyle name="Normal" xfId="0" builtinId="0"/>
    <cellStyle name="Normal 2" xfId="2" xr:uid="{1DE4B650-0F6C-41BC-B299-FACD5543F05A}"/>
  </cellStyles>
  <dxfs count="0"/>
  <tableStyles count="1" defaultTableStyle="TableStyleMedium2" defaultPivotStyle="PivotStyleLight16">
    <tableStyle name="Table Style 1" pivot="0" count="0" xr9:uid="{7300A44A-C524-4E0E-B451-D5073781F2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?frequency=1mo&amp;period1=1614793098&amp;period2=1772559485" connectionId="1" xr16:uid="{472C565B-FB5D-4C7D-862E-914E52F304E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4EE6-CD29-4D37-9F82-3C98FA30E392}">
  <dimension ref="A1:O63"/>
  <sheetViews>
    <sheetView showGridLines="0" tabSelected="1" zoomScale="90" zoomScaleNormal="90" workbookViewId="0">
      <pane xSplit="1" ySplit="2" topLeftCell="C41" activePane="bottomRight" state="frozen"/>
      <selection pane="topRight" activeCell="B1" sqref="B1"/>
      <selection pane="bottomLeft" activeCell="A3" sqref="A3"/>
      <selection pane="bottomRight" activeCell="C57" sqref="C57"/>
    </sheetView>
  </sheetViews>
  <sheetFormatPr defaultRowHeight="15"/>
  <cols>
    <col min="1" max="1" width="44.42578125" style="72" bestFit="1" customWidth="1"/>
    <col min="2" max="2" width="10" style="72" hidden="1" customWidth="1"/>
    <col min="3" max="12" width="9.85546875" style="72" bestFit="1" customWidth="1"/>
    <col min="13" max="14" width="9.140625" style="72"/>
    <col min="15" max="15" width="11" style="72" bestFit="1" customWidth="1"/>
    <col min="16" max="16384" width="9.140625" style="72"/>
  </cols>
  <sheetData>
    <row r="1" spans="1:15">
      <c r="C1" s="101"/>
      <c r="D1" s="101"/>
      <c r="E1" s="101"/>
      <c r="F1" s="101"/>
      <c r="G1" s="101"/>
      <c r="H1" s="139"/>
      <c r="I1" s="139"/>
      <c r="J1" s="139"/>
      <c r="K1" s="139"/>
      <c r="L1" s="139"/>
    </row>
    <row r="2" spans="1:15" s="76" customFormat="1">
      <c r="A2" s="76" t="s">
        <v>0</v>
      </c>
      <c r="C2" s="176">
        <v>2021</v>
      </c>
      <c r="D2" s="176">
        <v>2022</v>
      </c>
      <c r="E2" s="176">
        <v>2023</v>
      </c>
      <c r="F2" s="176">
        <v>2024</v>
      </c>
      <c r="G2" s="176">
        <v>2025</v>
      </c>
      <c r="H2" s="169">
        <f>G2+1</f>
        <v>2026</v>
      </c>
      <c r="I2" s="169">
        <f>H2+1</f>
        <v>2027</v>
      </c>
      <c r="J2" s="169">
        <f>I2+1</f>
        <v>2028</v>
      </c>
      <c r="K2" s="169">
        <f>J2+1</f>
        <v>2029</v>
      </c>
      <c r="L2" s="169">
        <f>K2+1</f>
        <v>2030</v>
      </c>
    </row>
    <row r="3" spans="1:15">
      <c r="A3" s="75"/>
      <c r="B3" s="75"/>
      <c r="C3" s="116"/>
      <c r="D3" s="116"/>
      <c r="E3" s="116"/>
      <c r="F3" s="116"/>
      <c r="G3" s="116"/>
      <c r="H3" s="139"/>
      <c r="I3" s="139"/>
      <c r="J3" s="139"/>
      <c r="K3" s="139"/>
      <c r="L3" s="139"/>
    </row>
    <row r="4" spans="1:15">
      <c r="A4" s="76" t="s">
        <v>1</v>
      </c>
      <c r="B4" s="76"/>
      <c r="C4" s="116"/>
      <c r="D4" s="101"/>
      <c r="E4" s="101"/>
      <c r="F4" s="101"/>
      <c r="G4" s="101"/>
      <c r="H4" s="139"/>
      <c r="I4" s="139"/>
      <c r="J4" s="139"/>
      <c r="K4" s="139"/>
      <c r="L4" s="139"/>
    </row>
    <row r="5" spans="1:15">
      <c r="A5" s="75" t="s">
        <v>2</v>
      </c>
      <c r="B5" s="75"/>
      <c r="C5" s="101"/>
      <c r="D5" s="104"/>
      <c r="E5" s="104"/>
      <c r="F5" s="104"/>
      <c r="G5" s="104"/>
      <c r="H5" s="139"/>
      <c r="I5" s="139"/>
      <c r="J5" s="139"/>
      <c r="K5" s="139"/>
      <c r="L5" s="139"/>
    </row>
    <row r="6" spans="1:15">
      <c r="A6" s="72" t="s">
        <v>3</v>
      </c>
      <c r="C6" s="104">
        <v>1897</v>
      </c>
      <c r="D6" s="104">
        <v>3233.41</v>
      </c>
      <c r="E6" s="104">
        <v>4696.9399999999996</v>
      </c>
      <c r="F6" s="104">
        <v>4677.03</v>
      </c>
      <c r="G6" s="104">
        <v>4842.3900000000003</v>
      </c>
      <c r="H6" s="140">
        <f>Notes!G17</f>
        <v>5250.4506750000037</v>
      </c>
      <c r="I6" s="140">
        <f>Notes!H17</f>
        <v>5634.3043900000039</v>
      </c>
      <c r="J6" s="140">
        <f>Notes!I17</f>
        <v>5977.1860380000035</v>
      </c>
      <c r="K6" s="140">
        <f>Notes!J17</f>
        <v>6461.866855600003</v>
      </c>
      <c r="L6" s="140">
        <f>Notes!K17</f>
        <v>6868.2340167200018</v>
      </c>
      <c r="N6" s="73"/>
      <c r="O6" s="73"/>
    </row>
    <row r="7" spans="1:15">
      <c r="A7" s="72" t="s">
        <v>4</v>
      </c>
      <c r="C7" s="101">
        <v>226.81</v>
      </c>
      <c r="D7" s="101">
        <v>423.18</v>
      </c>
      <c r="E7" s="101">
        <v>203.13</v>
      </c>
      <c r="F7" s="101">
        <v>147.30000000000001</v>
      </c>
      <c r="G7" s="104">
        <v>1525.48</v>
      </c>
      <c r="H7" s="140">
        <v>1525.48</v>
      </c>
      <c r="I7" s="140">
        <v>1525.48</v>
      </c>
      <c r="J7" s="140">
        <v>1525.48</v>
      </c>
      <c r="K7" s="140">
        <v>1525.48</v>
      </c>
      <c r="L7" s="140">
        <v>1525.48</v>
      </c>
    </row>
    <row r="8" spans="1:15">
      <c r="A8" s="72" t="s">
        <v>5</v>
      </c>
      <c r="C8" s="104">
        <v>1210.79</v>
      </c>
      <c r="D8" s="104">
        <v>1783.51</v>
      </c>
      <c r="E8" s="104">
        <v>1826.45</v>
      </c>
      <c r="F8" s="104">
        <v>1557.51</v>
      </c>
      <c r="G8" s="104">
        <v>1623.93</v>
      </c>
      <c r="H8" s="140">
        <f>Notes!G57</f>
        <v>1539.3868645332973</v>
      </c>
      <c r="I8" s="140">
        <f>Notes!H57</f>
        <v>1440.4952199092772</v>
      </c>
      <c r="J8" s="140">
        <f>Notes!I57</f>
        <v>1293.8479198100258</v>
      </c>
      <c r="K8" s="140">
        <f>Notes!J57</f>
        <v>1193.7810092652903</v>
      </c>
      <c r="L8" s="140">
        <f>Notes!K57</f>
        <v>1135.4043302832824</v>
      </c>
      <c r="N8" s="73"/>
      <c r="O8" s="73"/>
    </row>
    <row r="9" spans="1:15">
      <c r="A9" s="72" t="s">
        <v>6</v>
      </c>
      <c r="C9" s="104">
        <v>2033.63</v>
      </c>
      <c r="D9" s="104">
        <v>1227.03</v>
      </c>
      <c r="E9" s="104">
        <v>2060.77</v>
      </c>
      <c r="F9" s="104">
        <v>2060.77</v>
      </c>
      <c r="G9" s="104">
        <v>2060.77</v>
      </c>
      <c r="H9" s="140">
        <v>2060.77</v>
      </c>
      <c r="I9" s="140">
        <v>2060.77</v>
      </c>
      <c r="J9" s="140">
        <v>2060.77</v>
      </c>
      <c r="K9" s="140">
        <v>2060.77</v>
      </c>
      <c r="L9" s="140">
        <v>2060.77</v>
      </c>
    </row>
    <row r="10" spans="1:15">
      <c r="A10" s="72" t="s">
        <v>7</v>
      </c>
      <c r="C10" s="101">
        <v>189.54</v>
      </c>
      <c r="D10" s="101">
        <v>128.38</v>
      </c>
      <c r="E10" s="101">
        <v>109.15</v>
      </c>
      <c r="F10" s="101">
        <v>63.51</v>
      </c>
      <c r="G10" s="101">
        <v>46.41</v>
      </c>
      <c r="H10" s="140">
        <f>Notes!G37</f>
        <v>45.067999999999984</v>
      </c>
      <c r="I10" s="140">
        <f>Notes!H37</f>
        <v>41.035999999999945</v>
      </c>
      <c r="J10" s="140">
        <f>Notes!I37</f>
        <v>34.303999999999974</v>
      </c>
      <c r="K10" s="140">
        <f>Notes!J37</f>
        <v>24.871999999999957</v>
      </c>
      <c r="L10" s="140">
        <f>Notes!K37</f>
        <v>12.740000000000009</v>
      </c>
    </row>
    <row r="11" spans="1:15">
      <c r="A11" s="72" t="s">
        <v>8</v>
      </c>
      <c r="C11" s="101">
        <v>4.66</v>
      </c>
      <c r="D11" s="101">
        <v>1.02</v>
      </c>
      <c r="E11" s="101">
        <v>0.24</v>
      </c>
      <c r="F11" s="101">
        <v>33.909999999999997</v>
      </c>
      <c r="G11" s="101">
        <v>119.38</v>
      </c>
      <c r="H11" s="139">
        <v>119.38</v>
      </c>
      <c r="I11" s="139">
        <v>119.38</v>
      </c>
      <c r="J11" s="139">
        <v>119.38</v>
      </c>
      <c r="K11" s="139">
        <v>119.38</v>
      </c>
      <c r="L11" s="139">
        <v>119.38</v>
      </c>
    </row>
    <row r="12" spans="1:15">
      <c r="A12" s="72" t="s">
        <v>9</v>
      </c>
      <c r="C12" s="101"/>
      <c r="D12" s="101"/>
      <c r="E12" s="101"/>
      <c r="F12" s="101"/>
      <c r="G12" s="101"/>
      <c r="H12" s="139"/>
      <c r="I12" s="139"/>
      <c r="J12" s="139"/>
      <c r="K12" s="139"/>
      <c r="L12" s="139"/>
    </row>
    <row r="13" spans="1:15">
      <c r="A13" s="77" t="s">
        <v>10</v>
      </c>
      <c r="B13" s="77"/>
      <c r="C13" s="101">
        <v>0.08</v>
      </c>
      <c r="D13" s="104">
        <v>1882.48</v>
      </c>
      <c r="E13" s="104">
        <v>337.55</v>
      </c>
      <c r="F13" s="104">
        <v>600.08000000000004</v>
      </c>
      <c r="G13" s="104">
        <v>1255.08</v>
      </c>
      <c r="H13" s="140">
        <f>G13-'Cash Flows'!G41</f>
        <v>1755.08</v>
      </c>
      <c r="I13" s="140">
        <f>H13-'Cash Flows'!H41</f>
        <v>2355.08</v>
      </c>
      <c r="J13" s="140">
        <f>I13-'Cash Flows'!I41</f>
        <v>3055.08</v>
      </c>
      <c r="K13" s="140">
        <f>J13-'Cash Flows'!J41</f>
        <v>3855.08</v>
      </c>
      <c r="L13" s="140">
        <f>K13-'Cash Flows'!K41</f>
        <v>4755.08</v>
      </c>
    </row>
    <row r="14" spans="1:15">
      <c r="A14" s="77" t="s">
        <v>11</v>
      </c>
      <c r="B14" s="77"/>
      <c r="C14" s="101">
        <v>259.06</v>
      </c>
      <c r="D14" s="101">
        <v>280.27</v>
      </c>
      <c r="E14" s="101">
        <v>318.8</v>
      </c>
      <c r="F14" s="101">
        <v>480.8</v>
      </c>
      <c r="G14" s="101">
        <v>795.34</v>
      </c>
      <c r="H14" s="139">
        <v>795.34</v>
      </c>
      <c r="I14" s="139">
        <v>795.34</v>
      </c>
      <c r="J14" s="139">
        <v>795.34</v>
      </c>
      <c r="K14" s="139">
        <v>795.34</v>
      </c>
      <c r="L14" s="139">
        <v>795.34</v>
      </c>
    </row>
    <row r="15" spans="1:15">
      <c r="A15" s="72" t="s">
        <v>12</v>
      </c>
      <c r="C15" s="101">
        <v>247.83</v>
      </c>
      <c r="D15" s="101">
        <v>177.47</v>
      </c>
      <c r="E15" s="101">
        <v>368.6</v>
      </c>
      <c r="F15" s="101">
        <v>390.33</v>
      </c>
      <c r="G15" s="101">
        <v>398.61</v>
      </c>
      <c r="H15" s="149">
        <v>398.61</v>
      </c>
      <c r="I15" s="149">
        <v>398.61</v>
      </c>
      <c r="J15" s="149">
        <v>398.61</v>
      </c>
      <c r="K15" s="149">
        <v>398.61</v>
      </c>
      <c r="L15" s="149">
        <v>398.61</v>
      </c>
    </row>
    <row r="16" spans="1:15">
      <c r="A16" s="72" t="s">
        <v>13</v>
      </c>
      <c r="C16" s="101">
        <v>99.34</v>
      </c>
      <c r="D16" s="101">
        <v>220.33</v>
      </c>
      <c r="E16" s="101">
        <v>196.28</v>
      </c>
      <c r="F16" s="101">
        <v>205.89</v>
      </c>
      <c r="G16" s="101">
        <v>76.67</v>
      </c>
      <c r="H16" s="149">
        <v>76.67</v>
      </c>
      <c r="I16" s="149">
        <v>76.67</v>
      </c>
      <c r="J16" s="149">
        <v>76.67</v>
      </c>
      <c r="K16" s="149">
        <v>76.67</v>
      </c>
      <c r="L16" s="149">
        <v>76.67</v>
      </c>
    </row>
    <row r="17" spans="1:12">
      <c r="A17" s="72" t="s">
        <v>14</v>
      </c>
      <c r="C17" s="101">
        <v>146.11000000000001</v>
      </c>
      <c r="D17" s="101">
        <v>210.03</v>
      </c>
      <c r="E17" s="101">
        <v>112.15</v>
      </c>
      <c r="F17" s="101">
        <v>186.85</v>
      </c>
      <c r="G17" s="101">
        <v>364.88</v>
      </c>
      <c r="H17" s="149">
        <f>364.88</f>
        <v>364.88</v>
      </c>
      <c r="I17" s="149">
        <v>364.88</v>
      </c>
      <c r="J17" s="149">
        <v>364.88</v>
      </c>
      <c r="K17" s="149">
        <v>364.88</v>
      </c>
      <c r="L17" s="149">
        <v>364.88</v>
      </c>
    </row>
    <row r="18" spans="1:12" s="80" customFormat="1">
      <c r="A18" s="79" t="s">
        <v>15</v>
      </c>
      <c r="B18" s="79"/>
      <c r="C18" s="178">
        <f t="shared" ref="C18:L18" si="0">SUM(C6:C17)</f>
        <v>6314.8499999999995</v>
      </c>
      <c r="D18" s="178">
        <f t="shared" si="0"/>
        <v>9567.11</v>
      </c>
      <c r="E18" s="178">
        <f t="shared" si="0"/>
        <v>10230.059999999998</v>
      </c>
      <c r="F18" s="178">
        <f t="shared" si="0"/>
        <v>10403.98</v>
      </c>
      <c r="G18" s="178">
        <f t="shared" si="0"/>
        <v>13108.94</v>
      </c>
      <c r="H18" s="172">
        <f t="shared" si="0"/>
        <v>13931.115539533299</v>
      </c>
      <c r="I18" s="172">
        <f t="shared" si="0"/>
        <v>14812.045609909281</v>
      </c>
      <c r="J18" s="172">
        <f t="shared" si="0"/>
        <v>15701.547957810028</v>
      </c>
      <c r="K18" s="172">
        <f t="shared" si="0"/>
        <v>16876.72986486529</v>
      </c>
      <c r="L18" s="172">
        <f t="shared" si="0"/>
        <v>18112.588347003286</v>
      </c>
    </row>
    <row r="19" spans="1:12">
      <c r="A19" s="75" t="s">
        <v>16</v>
      </c>
      <c r="B19" s="75"/>
      <c r="C19" s="101"/>
      <c r="D19" s="101"/>
      <c r="E19" s="101"/>
      <c r="F19" s="101"/>
      <c r="G19" s="101"/>
      <c r="H19" s="139"/>
      <c r="I19" s="139"/>
      <c r="J19" s="139"/>
      <c r="K19" s="139"/>
      <c r="L19" s="139"/>
    </row>
    <row r="20" spans="1:12">
      <c r="A20" s="72" t="s">
        <v>17</v>
      </c>
      <c r="C20" s="101">
        <v>894.73</v>
      </c>
      <c r="D20" s="101">
        <v>629.27</v>
      </c>
      <c r="E20" s="101">
        <v>741.7</v>
      </c>
      <c r="F20" s="104">
        <v>1268.5999999999999</v>
      </c>
      <c r="G20" s="101">
        <v>795.83</v>
      </c>
      <c r="H20" s="149">
        <f>Ratios!I10</f>
        <v>671.08431858542269</v>
      </c>
      <c r="I20" s="149">
        <f>Ratios!J10</f>
        <v>1097.6719694971243</v>
      </c>
      <c r="J20" s="149">
        <f>Ratios!K10</f>
        <v>884.72572350005134</v>
      </c>
      <c r="K20" s="149">
        <f>Ratios!L10</f>
        <v>1337.6146170872178</v>
      </c>
      <c r="L20" s="149">
        <f>Ratios!M10</f>
        <v>1154.248187826224</v>
      </c>
    </row>
    <row r="21" spans="1:12">
      <c r="A21" s="72" t="s">
        <v>18</v>
      </c>
      <c r="C21" s="101"/>
      <c r="D21" s="101"/>
      <c r="E21" s="101"/>
      <c r="F21" s="101"/>
      <c r="G21" s="101"/>
      <c r="H21" s="139" t="s">
        <v>117</v>
      </c>
      <c r="I21" s="139"/>
      <c r="J21" s="139"/>
      <c r="K21" s="139"/>
      <c r="L21" s="139"/>
    </row>
    <row r="22" spans="1:12">
      <c r="A22" s="77" t="s">
        <v>10</v>
      </c>
      <c r="B22" s="77"/>
      <c r="C22" s="104">
        <v>1122.55</v>
      </c>
      <c r="D22" s="101">
        <v>780.74</v>
      </c>
      <c r="E22" s="104">
        <v>2454.89</v>
      </c>
      <c r="F22" s="104">
        <v>4251.32</v>
      </c>
      <c r="G22" s="104">
        <v>4908.03</v>
      </c>
      <c r="H22" s="149">
        <f>G22-'Cash Flows'!G41</f>
        <v>5408.03</v>
      </c>
      <c r="I22" s="149">
        <f>H22-'Cash Flows'!H41</f>
        <v>6008.03</v>
      </c>
      <c r="J22" s="149">
        <f>I22-'Cash Flows'!I41</f>
        <v>6708.03</v>
      </c>
      <c r="K22" s="149">
        <f>J22-'Cash Flows'!J41</f>
        <v>7508.03</v>
      </c>
      <c r="L22" s="149">
        <f>K22-'Cash Flows'!K41</f>
        <v>8408.0299999999988</v>
      </c>
    </row>
    <row r="23" spans="1:12">
      <c r="A23" s="77" t="s">
        <v>19</v>
      </c>
      <c r="B23" s="77"/>
      <c r="C23" s="104">
        <v>5007.1899999999996</v>
      </c>
      <c r="D23" s="104">
        <v>4269.95</v>
      </c>
      <c r="E23" s="104">
        <v>5260.03</v>
      </c>
      <c r="F23" s="104">
        <v>7197.13</v>
      </c>
      <c r="G23" s="104">
        <v>8145.55</v>
      </c>
      <c r="H23" s="149">
        <f>Ratios!I24-Notes!Q8</f>
        <v>5770.5978984014946</v>
      </c>
      <c r="I23" s="149">
        <f>Ratios!J24-Notes!R8</f>
        <v>11065.894002454021</v>
      </c>
      <c r="J23" s="149">
        <f>Ratios!K24-Notes!S8</f>
        <v>7787.3400083029856</v>
      </c>
      <c r="K23" s="149">
        <f>Ratios!L24-Notes!T8</f>
        <v>13331.198490604669</v>
      </c>
      <c r="L23" s="149">
        <f>Ratios!M24-Notes!U8</f>
        <v>10332.214062820072</v>
      </c>
    </row>
    <row r="24" spans="1:12">
      <c r="A24" s="77" t="s">
        <v>20</v>
      </c>
      <c r="B24" s="77"/>
      <c r="C24" s="104">
        <v>1335.14</v>
      </c>
      <c r="D24" s="101">
        <v>396.74</v>
      </c>
      <c r="E24" s="101">
        <v>963.14</v>
      </c>
      <c r="F24" s="104">
        <v>1590.08</v>
      </c>
      <c r="G24" s="104">
        <v>2308.52</v>
      </c>
      <c r="H24" s="140">
        <f>'Cash Flows'!G61</f>
        <v>6756.1704279675578</v>
      </c>
      <c r="I24" s="140">
        <f>'Cash Flows'!H61</f>
        <v>4642.2408311365325</v>
      </c>
      <c r="J24" s="140">
        <f>'Cash Flows'!I61</f>
        <v>10830.324012189194</v>
      </c>
      <c r="K24" s="140">
        <f>'Cash Flows'!J61</f>
        <v>10035.740816685537</v>
      </c>
      <c r="L24" s="140">
        <f>'Cash Flows'!K61</f>
        <v>17472.040968105692</v>
      </c>
    </row>
    <row r="25" spans="1:12">
      <c r="A25" s="77" t="s">
        <v>21</v>
      </c>
      <c r="B25" s="77"/>
      <c r="C25" s="101">
        <v>610.34</v>
      </c>
      <c r="D25" s="101">
        <v>559.29999999999995</v>
      </c>
      <c r="E25" s="101">
        <v>599.38</v>
      </c>
      <c r="F25" s="104">
        <v>1080.06</v>
      </c>
      <c r="G25" s="101">
        <v>648.03</v>
      </c>
      <c r="H25" s="149">
        <v>648.03</v>
      </c>
      <c r="I25" s="149">
        <v>648.03</v>
      </c>
      <c r="J25" s="149">
        <v>648.03</v>
      </c>
      <c r="K25" s="149">
        <v>648.03</v>
      </c>
      <c r="L25" s="149">
        <v>648.03</v>
      </c>
    </row>
    <row r="26" spans="1:12">
      <c r="A26" s="77" t="s">
        <v>44</v>
      </c>
      <c r="B26" s="77"/>
      <c r="C26" s="101"/>
      <c r="D26" s="101">
        <v>143.86000000000001</v>
      </c>
      <c r="E26" s="101" t="s">
        <v>45</v>
      </c>
      <c r="F26" s="101" t="s">
        <v>45</v>
      </c>
      <c r="G26" s="101" t="s">
        <v>45</v>
      </c>
      <c r="H26" s="139"/>
      <c r="I26" s="139"/>
      <c r="J26" s="139"/>
      <c r="K26" s="139"/>
      <c r="L26" s="139"/>
    </row>
    <row r="27" spans="1:12">
      <c r="A27" s="77" t="s">
        <v>51</v>
      </c>
      <c r="B27" s="77"/>
      <c r="C27" s="101">
        <v>40.89</v>
      </c>
      <c r="D27" s="101">
        <v>259.08999999999997</v>
      </c>
      <c r="E27" s="101">
        <v>29.62</v>
      </c>
      <c r="F27" s="101">
        <v>98.52</v>
      </c>
      <c r="G27" s="101">
        <v>481.69</v>
      </c>
      <c r="H27" s="139">
        <v>481.69</v>
      </c>
      <c r="I27" s="139">
        <v>481.69</v>
      </c>
      <c r="J27" s="139">
        <v>481.69</v>
      </c>
      <c r="K27" s="139">
        <v>481.69</v>
      </c>
      <c r="L27" s="139">
        <v>481.69</v>
      </c>
    </row>
    <row r="28" spans="1:12">
      <c r="A28" s="72" t="s">
        <v>22</v>
      </c>
      <c r="C28" s="101">
        <v>792.41</v>
      </c>
      <c r="D28" s="104">
        <v>1007.88</v>
      </c>
      <c r="E28" s="101">
        <v>733.44</v>
      </c>
      <c r="F28" s="101">
        <v>695.55</v>
      </c>
      <c r="G28" s="101">
        <v>802.65</v>
      </c>
      <c r="H28" s="149">
        <v>802.65</v>
      </c>
      <c r="I28" s="149">
        <v>802.65</v>
      </c>
      <c r="J28" s="149">
        <v>802.65</v>
      </c>
      <c r="K28" s="149">
        <v>802.65</v>
      </c>
      <c r="L28" s="149">
        <v>802.65</v>
      </c>
    </row>
    <row r="29" spans="1:12" s="80" customFormat="1">
      <c r="A29" s="79" t="s">
        <v>23</v>
      </c>
      <c r="B29" s="79"/>
      <c r="C29" s="178">
        <f t="shared" ref="C29:L29" si="1">SUM(C20:C28)</f>
        <v>9803.2499999999982</v>
      </c>
      <c r="D29" s="178">
        <f t="shared" si="1"/>
        <v>8046.83</v>
      </c>
      <c r="E29" s="178">
        <f t="shared" si="1"/>
        <v>10782.199999999999</v>
      </c>
      <c r="F29" s="178">
        <f t="shared" si="1"/>
        <v>16181.259999999998</v>
      </c>
      <c r="G29" s="178">
        <f t="shared" si="1"/>
        <v>18090.3</v>
      </c>
      <c r="H29" s="172">
        <f t="shared" si="1"/>
        <v>20538.252644954475</v>
      </c>
      <c r="I29" s="172">
        <f t="shared" si="1"/>
        <v>24746.206803087676</v>
      </c>
      <c r="J29" s="172">
        <f t="shared" si="1"/>
        <v>28142.789743992231</v>
      </c>
      <c r="K29" s="172">
        <f t="shared" si="1"/>
        <v>34144.953924377427</v>
      </c>
      <c r="L29" s="172">
        <f t="shared" si="1"/>
        <v>39298.903218751992</v>
      </c>
    </row>
    <row r="30" spans="1:12" s="89" customFormat="1">
      <c r="A30" s="87"/>
      <c r="B30" s="87"/>
      <c r="C30" s="108"/>
      <c r="D30" s="108"/>
      <c r="E30" s="108"/>
      <c r="F30" s="108"/>
      <c r="G30" s="108"/>
      <c r="H30" s="143"/>
      <c r="I30" s="143"/>
      <c r="J30" s="143"/>
      <c r="K30" s="143"/>
      <c r="L30" s="143"/>
    </row>
    <row r="31" spans="1:12" s="82" customFormat="1">
      <c r="A31" s="81" t="s">
        <v>104</v>
      </c>
      <c r="B31" s="81">
        <v>13327.38</v>
      </c>
      <c r="C31" s="111">
        <f t="shared" ref="C31:L31" si="2">C29+C18</f>
        <v>16118.099999999999</v>
      </c>
      <c r="D31" s="111">
        <f t="shared" si="2"/>
        <v>17613.940000000002</v>
      </c>
      <c r="E31" s="111">
        <f t="shared" si="2"/>
        <v>21012.259999999995</v>
      </c>
      <c r="F31" s="111">
        <f t="shared" si="2"/>
        <v>26585.239999999998</v>
      </c>
      <c r="G31" s="111">
        <f t="shared" si="2"/>
        <v>31199.239999999998</v>
      </c>
      <c r="H31" s="145">
        <f t="shared" si="2"/>
        <v>34469.368184487772</v>
      </c>
      <c r="I31" s="145">
        <f t="shared" si="2"/>
        <v>39558.252412996953</v>
      </c>
      <c r="J31" s="145">
        <f t="shared" si="2"/>
        <v>43844.337701802258</v>
      </c>
      <c r="K31" s="145">
        <f t="shared" si="2"/>
        <v>51021.683789242714</v>
      </c>
      <c r="L31" s="145">
        <f t="shared" si="2"/>
        <v>57411.491565755277</v>
      </c>
    </row>
    <row r="32" spans="1:12">
      <c r="A32" s="75"/>
      <c r="B32" s="75"/>
      <c r="C32" s="108"/>
      <c r="D32" s="108"/>
      <c r="E32" s="108"/>
      <c r="F32" s="108"/>
      <c r="G32" s="108"/>
      <c r="H32" s="139"/>
      <c r="I32" s="139"/>
      <c r="J32" s="139"/>
      <c r="K32" s="139"/>
      <c r="L32" s="139"/>
    </row>
    <row r="33" spans="1:13">
      <c r="A33" s="76" t="s">
        <v>25</v>
      </c>
      <c r="B33" s="76"/>
      <c r="C33" s="101"/>
      <c r="D33" s="101"/>
      <c r="E33" s="101"/>
      <c r="F33" s="101"/>
      <c r="G33" s="101"/>
      <c r="H33" s="139"/>
      <c r="I33" s="139"/>
      <c r="J33" s="139"/>
      <c r="K33" s="139"/>
      <c r="L33" s="139"/>
    </row>
    <row r="34" spans="1:13">
      <c r="A34" s="75"/>
      <c r="B34" s="75"/>
      <c r="C34" s="101"/>
      <c r="D34" s="101"/>
      <c r="E34" s="101"/>
      <c r="F34" s="101"/>
      <c r="G34" s="101"/>
      <c r="H34" s="139"/>
      <c r="I34" s="139"/>
      <c r="J34" s="139"/>
      <c r="K34" s="139"/>
      <c r="L34" s="139"/>
    </row>
    <row r="35" spans="1:13">
      <c r="A35" s="75" t="s">
        <v>26</v>
      </c>
      <c r="B35" s="75"/>
      <c r="C35" s="101"/>
      <c r="D35" s="101"/>
      <c r="E35" s="101"/>
      <c r="F35" s="101"/>
      <c r="G35" s="101"/>
      <c r="H35" s="139"/>
      <c r="I35" s="139"/>
      <c r="J35" s="139"/>
      <c r="K35" s="139"/>
      <c r="L35" s="139"/>
    </row>
    <row r="36" spans="1:13">
      <c r="A36" s="72" t="s">
        <v>27</v>
      </c>
      <c r="C36" s="104">
        <v>1480</v>
      </c>
      <c r="D36" s="104">
        <v>1531.53</v>
      </c>
      <c r="E36" s="104">
        <v>1544</v>
      </c>
      <c r="F36" s="104">
        <v>1627.62</v>
      </c>
      <c r="G36" s="104">
        <v>1643.65</v>
      </c>
      <c r="H36" s="140">
        <v>1643.65</v>
      </c>
      <c r="I36" s="140">
        <v>1643.65</v>
      </c>
      <c r="J36" s="140">
        <v>1643.65</v>
      </c>
      <c r="K36" s="140">
        <v>1643.65</v>
      </c>
      <c r="L36" s="140">
        <v>1643.65</v>
      </c>
    </row>
    <row r="37" spans="1:13">
      <c r="A37" s="72" t="s">
        <v>28</v>
      </c>
      <c r="C37" s="104">
        <v>8364.76</v>
      </c>
      <c r="D37" s="104">
        <v>10587.57</v>
      </c>
      <c r="E37" s="104">
        <v>14080.55</v>
      </c>
      <c r="F37" s="104">
        <v>17839.97</v>
      </c>
      <c r="G37" s="104">
        <v>21021.49</v>
      </c>
      <c r="H37" s="140">
        <f>G37+'Income Statement '!G91+'Cash Flows'!G23</f>
        <v>23945.696458390481</v>
      </c>
      <c r="I37" s="140">
        <f>H37+'Income Statement '!H91+'Cash Flows'!H23</f>
        <v>27703.619780896228</v>
      </c>
      <c r="J37" s="140">
        <f>I37+'Income Statement '!I91+'Cash Flows'!I23</f>
        <v>31880.29024784045</v>
      </c>
      <c r="K37" s="140">
        <f>J37+'Income Statement '!J91+'Cash Flows'!J23</f>
        <v>36581.409430435873</v>
      </c>
      <c r="L37" s="140">
        <f>K37+'Income Statement '!K91+'Cash Flows'!K23</f>
        <v>41881.904499763099</v>
      </c>
    </row>
    <row r="38" spans="1:13" s="80" customFormat="1">
      <c r="A38" s="79" t="s">
        <v>29</v>
      </c>
      <c r="B38" s="79">
        <v>8503.91</v>
      </c>
      <c r="C38" s="178">
        <f t="shared" ref="C38:L38" si="3">SUM(C36:C37)</f>
        <v>9844.76</v>
      </c>
      <c r="D38" s="178">
        <f t="shared" si="3"/>
        <v>12119.1</v>
      </c>
      <c r="E38" s="178">
        <f t="shared" si="3"/>
        <v>15624.55</v>
      </c>
      <c r="F38" s="178">
        <f t="shared" si="3"/>
        <v>19467.59</v>
      </c>
      <c r="G38" s="178">
        <f t="shared" si="3"/>
        <v>22665.140000000003</v>
      </c>
      <c r="H38" s="172">
        <f t="shared" si="3"/>
        <v>25589.346458390482</v>
      </c>
      <c r="I38" s="172">
        <f t="shared" si="3"/>
        <v>29347.269780896229</v>
      </c>
      <c r="J38" s="172">
        <f t="shared" si="3"/>
        <v>33523.940247840452</v>
      </c>
      <c r="K38" s="172">
        <f t="shared" si="3"/>
        <v>38225.059430435875</v>
      </c>
      <c r="L38" s="172">
        <f t="shared" si="3"/>
        <v>43525.5544997631</v>
      </c>
    </row>
    <row r="39" spans="1:13">
      <c r="A39" s="75" t="s">
        <v>30</v>
      </c>
      <c r="B39" s="75"/>
      <c r="C39" s="101"/>
      <c r="D39" s="101"/>
      <c r="E39" s="101"/>
      <c r="F39" s="101"/>
      <c r="G39" s="101"/>
      <c r="H39" s="140"/>
      <c r="I39" s="139"/>
      <c r="J39" s="139"/>
      <c r="K39" s="139"/>
      <c r="L39" s="139"/>
    </row>
    <row r="40" spans="1:13">
      <c r="A40" s="72" t="s">
        <v>31</v>
      </c>
      <c r="C40" s="101"/>
      <c r="D40" s="101"/>
      <c r="E40" s="101"/>
      <c r="F40" s="101"/>
      <c r="G40" s="101"/>
      <c r="H40" s="139"/>
      <c r="I40" s="139"/>
      <c r="J40" s="139"/>
      <c r="K40" s="139"/>
      <c r="L40" s="139"/>
    </row>
    <row r="41" spans="1:13">
      <c r="A41" s="72" t="s">
        <v>32</v>
      </c>
      <c r="C41" s="101"/>
      <c r="D41" s="101"/>
      <c r="E41" s="101"/>
      <c r="F41" s="101"/>
      <c r="G41" s="104"/>
      <c r="H41" s="139"/>
      <c r="I41" s="139"/>
      <c r="J41" s="139"/>
      <c r="K41" s="139"/>
      <c r="L41" s="139"/>
    </row>
    <row r="42" spans="1:13">
      <c r="A42" s="77" t="s">
        <v>33</v>
      </c>
      <c r="B42" s="77">
        <v>633.66</v>
      </c>
      <c r="C42" s="101">
        <v>945.38</v>
      </c>
      <c r="D42" s="104">
        <v>1458.24</v>
      </c>
      <c r="E42" s="104">
        <v>1528.03</v>
      </c>
      <c r="F42" s="104">
        <v>1281.1400000000001</v>
      </c>
      <c r="G42" s="104">
        <v>1320.54</v>
      </c>
      <c r="H42" s="149">
        <f>Notes!G63*0.73</f>
        <v>1307.1011003531382</v>
      </c>
      <c r="I42" s="149">
        <f>Notes!H63*0.73</f>
        <v>1338.8844964340199</v>
      </c>
      <c r="J42" s="149">
        <f>Notes!I63*0.73</f>
        <v>1312.2985843716344</v>
      </c>
      <c r="K42" s="149">
        <f>Notes!J63*0.73</f>
        <v>1316.0777649795421</v>
      </c>
      <c r="L42" s="149">
        <f>Notes!K63*0.73</f>
        <v>1292.2552670301034</v>
      </c>
      <c r="M42" s="78"/>
    </row>
    <row r="43" spans="1:13">
      <c r="A43" s="72" t="s">
        <v>34</v>
      </c>
      <c r="C43" s="101">
        <v>191.01</v>
      </c>
      <c r="D43" s="101">
        <v>24.79</v>
      </c>
      <c r="E43" s="101">
        <v>211.12</v>
      </c>
      <c r="F43" s="101">
        <v>239.27</v>
      </c>
      <c r="G43" s="101">
        <v>253.88</v>
      </c>
      <c r="H43" s="139">
        <f>'Key Indicator'!G288</f>
        <v>253.88</v>
      </c>
      <c r="I43" s="139">
        <f>'Key Indicator'!H288</f>
        <v>253.88</v>
      </c>
      <c r="J43" s="139">
        <f>'Key Indicator'!I288</f>
        <v>253.88</v>
      </c>
      <c r="K43" s="139">
        <f>'Key Indicator'!J288</f>
        <v>253.88</v>
      </c>
      <c r="L43" s="139">
        <f>'Key Indicator'!K288</f>
        <v>253.88</v>
      </c>
    </row>
    <row r="44" spans="1:13">
      <c r="A44" s="72" t="s">
        <v>35</v>
      </c>
      <c r="C44" s="101"/>
      <c r="D44" s="101">
        <v>9.25</v>
      </c>
      <c r="E44" s="101">
        <v>6.14</v>
      </c>
      <c r="F44" s="101">
        <v>81.540000000000006</v>
      </c>
      <c r="G44" s="101">
        <v>58.98</v>
      </c>
      <c r="H44" s="139">
        <v>58.98</v>
      </c>
      <c r="I44" s="139">
        <v>58.98</v>
      </c>
      <c r="J44" s="139">
        <v>58.98</v>
      </c>
      <c r="K44" s="139">
        <v>58.98</v>
      </c>
      <c r="L44" s="139">
        <v>58.98</v>
      </c>
    </row>
    <row r="45" spans="1:13" s="80" customFormat="1">
      <c r="A45" s="79" t="s">
        <v>36</v>
      </c>
      <c r="B45" s="79"/>
      <c r="C45" s="178">
        <f t="shared" ref="C45:L45" si="4">SUM(C42:C44)</f>
        <v>1136.3899999999999</v>
      </c>
      <c r="D45" s="178">
        <f t="shared" si="4"/>
        <v>1492.28</v>
      </c>
      <c r="E45" s="178">
        <f t="shared" si="4"/>
        <v>1745.2900000000002</v>
      </c>
      <c r="F45" s="178">
        <f t="shared" si="4"/>
        <v>1601.95</v>
      </c>
      <c r="G45" s="178">
        <f t="shared" si="4"/>
        <v>1633.4</v>
      </c>
      <c r="H45" s="172">
        <f t="shared" si="4"/>
        <v>1619.9611003531381</v>
      </c>
      <c r="I45" s="172">
        <f t="shared" si="4"/>
        <v>1651.7444964340198</v>
      </c>
      <c r="J45" s="172">
        <f t="shared" si="4"/>
        <v>1625.1585843716343</v>
      </c>
      <c r="K45" s="172">
        <f t="shared" si="4"/>
        <v>1628.937764979542</v>
      </c>
      <c r="L45" s="172">
        <f t="shared" si="4"/>
        <v>1605.1152670301035</v>
      </c>
    </row>
    <row r="46" spans="1:13">
      <c r="A46" s="75" t="s">
        <v>37</v>
      </c>
      <c r="B46" s="75"/>
      <c r="C46" s="101"/>
      <c r="D46" s="101"/>
      <c r="E46" s="101"/>
      <c r="F46" s="101"/>
      <c r="G46" s="101"/>
      <c r="H46" s="149"/>
      <c r="I46" s="149"/>
      <c r="J46" s="149"/>
      <c r="K46" s="149"/>
      <c r="L46" s="149"/>
    </row>
    <row r="47" spans="1:13">
      <c r="A47" s="72" t="s">
        <v>38</v>
      </c>
      <c r="C47" s="101"/>
      <c r="D47" s="101"/>
      <c r="E47" s="101"/>
      <c r="F47" s="101"/>
      <c r="G47" s="101"/>
      <c r="H47" s="149"/>
      <c r="I47" s="149"/>
      <c r="J47" s="149"/>
      <c r="K47" s="149"/>
      <c r="L47" s="149"/>
    </row>
    <row r="48" spans="1:13">
      <c r="A48" s="77" t="s">
        <v>33</v>
      </c>
      <c r="B48" s="77">
        <v>231.5</v>
      </c>
      <c r="C48" s="101">
        <v>320.97000000000003</v>
      </c>
      <c r="D48" s="101">
        <v>446.27</v>
      </c>
      <c r="E48" s="101">
        <v>505.33</v>
      </c>
      <c r="F48" s="101">
        <v>527.41999999999996</v>
      </c>
      <c r="G48" s="101">
        <v>574.79999999999995</v>
      </c>
      <c r="H48" s="149">
        <f>Notes!G63-'Balance Sheet'!H42</f>
        <v>483.4483521854072</v>
      </c>
      <c r="I48" s="149">
        <f>Notes!H63-'Balance Sheet'!I42</f>
        <v>495.20385484545955</v>
      </c>
      <c r="J48" s="149">
        <f>Notes!I63-'Balance Sheet'!J42</f>
        <v>485.37070928813887</v>
      </c>
      <c r="K48" s="149">
        <f>Notes!J63-'Balance Sheet'!K42</f>
        <v>486.76848841709079</v>
      </c>
      <c r="L48" s="149">
        <f>Notes!K63-'Balance Sheet'!L42</f>
        <v>477.95742753168224</v>
      </c>
    </row>
    <row r="49" spans="1:12">
      <c r="A49" s="77" t="s">
        <v>39</v>
      </c>
      <c r="B49" s="77"/>
      <c r="C49" s="101"/>
      <c r="D49" s="101"/>
      <c r="E49" s="101"/>
      <c r="F49" s="101"/>
      <c r="G49" s="101"/>
      <c r="H49" s="139"/>
      <c r="I49" s="139"/>
      <c r="J49" s="139"/>
      <c r="K49" s="139"/>
      <c r="L49" s="139"/>
    </row>
    <row r="50" spans="1:12">
      <c r="A50" s="77" t="s">
        <v>52</v>
      </c>
      <c r="B50" s="77"/>
      <c r="C50" s="101">
        <v>45.27</v>
      </c>
      <c r="D50" s="101">
        <v>75.02</v>
      </c>
      <c r="E50" s="101">
        <v>51.74</v>
      </c>
      <c r="F50" s="101">
        <v>65.3</v>
      </c>
      <c r="G50" s="101">
        <v>102.38</v>
      </c>
      <c r="H50" s="139">
        <v>0</v>
      </c>
      <c r="I50" s="139">
        <v>0</v>
      </c>
      <c r="J50" s="139">
        <v>0</v>
      </c>
      <c r="K50" s="139">
        <v>0</v>
      </c>
      <c r="L50" s="139">
        <v>0</v>
      </c>
    </row>
    <row r="51" spans="1:12">
      <c r="A51" s="77" t="s">
        <v>53</v>
      </c>
      <c r="B51" s="77"/>
      <c r="C51" s="104">
        <v>3016.28</v>
      </c>
      <c r="D51" s="104">
        <v>2493.37</v>
      </c>
      <c r="E51" s="104">
        <v>2200.4</v>
      </c>
      <c r="F51" s="104">
        <v>3964.74</v>
      </c>
      <c r="G51" s="104">
        <v>3398.56</v>
      </c>
      <c r="H51" s="149">
        <f>Ratios!I17-'Income Statement '!G69</f>
        <v>4120.8920543852728</v>
      </c>
      <c r="I51" s="149">
        <f>Ratios!J17-'Income Statement '!H69</f>
        <v>5319.7813745986959</v>
      </c>
      <c r="J51" s="149">
        <f>Ratios!K17-'Income Statement '!I69</f>
        <v>4965.2458370070872</v>
      </c>
      <c r="K51" s="149">
        <f>Ratios!L17-'Income Statement '!J69</f>
        <v>6670.3111659722354</v>
      </c>
      <c r="L51" s="149">
        <f>Ratios!M17-'Income Statement '!K69</f>
        <v>6701.5265861076114</v>
      </c>
    </row>
    <row r="52" spans="1:12">
      <c r="A52" s="77" t="s">
        <v>40</v>
      </c>
      <c r="B52" s="77"/>
      <c r="C52" s="104">
        <v>1410.45</v>
      </c>
      <c r="D52" s="101">
        <v>773.76</v>
      </c>
      <c r="E52" s="101">
        <v>597.35</v>
      </c>
      <c r="F52" s="101">
        <v>596.69000000000005</v>
      </c>
      <c r="G52" s="104">
        <v>1934.68</v>
      </c>
      <c r="H52" s="140">
        <v>1934.68</v>
      </c>
      <c r="I52" s="140">
        <v>1934.68</v>
      </c>
      <c r="J52" s="140">
        <f>1934.68+219.66</f>
        <v>2154.34</v>
      </c>
      <c r="K52" s="140">
        <f>1934.68+600</f>
        <v>2534.6800000000003</v>
      </c>
      <c r="L52" s="140">
        <f>1934.68+1276.38</f>
        <v>3211.0600000000004</v>
      </c>
    </row>
    <row r="53" spans="1:12">
      <c r="A53" s="72" t="s">
        <v>41</v>
      </c>
      <c r="C53" s="101">
        <v>29.22</v>
      </c>
      <c r="D53" s="101">
        <v>8.07</v>
      </c>
      <c r="E53" s="101">
        <v>32.1</v>
      </c>
      <c r="F53" s="101">
        <v>35.090000000000003</v>
      </c>
      <c r="G53" s="101">
        <v>475.09</v>
      </c>
      <c r="H53" s="149">
        <f>'Key Indicator'!H294</f>
        <v>475.08999999999992</v>
      </c>
      <c r="I53" s="149">
        <f>'Key Indicator'!I294</f>
        <v>475.08999999999992</v>
      </c>
      <c r="J53" s="149">
        <f>'Key Indicator'!J294</f>
        <v>475.08999999999992</v>
      </c>
      <c r="K53" s="149">
        <f>'Key Indicator'!K294</f>
        <v>475.08999999999992</v>
      </c>
      <c r="L53" s="149">
        <f>'Key Indicator'!L294</f>
        <v>475.08999999999992</v>
      </c>
    </row>
    <row r="54" spans="1:12">
      <c r="A54" s="72" t="s">
        <v>42</v>
      </c>
      <c r="C54" s="101">
        <v>314.76</v>
      </c>
      <c r="D54" s="101">
        <v>206.07</v>
      </c>
      <c r="E54" s="101">
        <v>255.5</v>
      </c>
      <c r="F54" s="101">
        <v>326.45999999999998</v>
      </c>
      <c r="G54" s="101">
        <v>415.19</v>
      </c>
      <c r="H54" s="139">
        <f>415.19-169.24</f>
        <v>245.95</v>
      </c>
      <c r="I54" s="139">
        <f>415.19-80.71</f>
        <v>334.48</v>
      </c>
      <c r="J54" s="139">
        <f>415.19+200</f>
        <v>615.19000000000005</v>
      </c>
      <c r="K54" s="139">
        <f>415.19+585.65</f>
        <v>1000.8399999999999</v>
      </c>
      <c r="L54" s="139">
        <f>415.19+1000</f>
        <v>1415.19</v>
      </c>
    </row>
    <row r="55" spans="1:12" s="80" customFormat="1">
      <c r="A55" s="79" t="s">
        <v>43</v>
      </c>
      <c r="B55" s="79"/>
      <c r="C55" s="178">
        <f t="shared" ref="C55:L55" si="5">SUM(C48:C54)</f>
        <v>5136.9500000000007</v>
      </c>
      <c r="D55" s="178">
        <f t="shared" si="5"/>
        <v>4002.5600000000004</v>
      </c>
      <c r="E55" s="178">
        <f t="shared" si="5"/>
        <v>3642.42</v>
      </c>
      <c r="F55" s="178">
        <f t="shared" si="5"/>
        <v>5515.7</v>
      </c>
      <c r="G55" s="178">
        <f t="shared" si="5"/>
        <v>6900.7</v>
      </c>
      <c r="H55" s="172">
        <f t="shared" si="5"/>
        <v>7260.0604065706802</v>
      </c>
      <c r="I55" s="172">
        <f t="shared" si="5"/>
        <v>8559.2352294441553</v>
      </c>
      <c r="J55" s="172">
        <f t="shared" si="5"/>
        <v>8695.2365462952257</v>
      </c>
      <c r="K55" s="172">
        <f t="shared" si="5"/>
        <v>11167.689654389327</v>
      </c>
      <c r="L55" s="172">
        <f t="shared" si="5"/>
        <v>12280.824013639294</v>
      </c>
    </row>
    <row r="56" spans="1:12" s="89" customFormat="1">
      <c r="A56" s="87"/>
      <c r="B56" s="87"/>
      <c r="C56" s="108"/>
      <c r="D56" s="108"/>
      <c r="E56" s="108"/>
      <c r="F56" s="108"/>
      <c r="G56" s="108"/>
      <c r="H56" s="143"/>
      <c r="I56" s="143"/>
      <c r="J56" s="143"/>
      <c r="K56" s="143"/>
      <c r="L56" s="143"/>
    </row>
    <row r="57" spans="1:12" s="82" customFormat="1">
      <c r="A57" s="81" t="s">
        <v>24</v>
      </c>
      <c r="B57" s="81"/>
      <c r="C57" s="111">
        <f t="shared" ref="C57:L57" si="6">C55+C45+C38</f>
        <v>16118.1</v>
      </c>
      <c r="D57" s="111">
        <f t="shared" si="6"/>
        <v>17613.940000000002</v>
      </c>
      <c r="E57" s="111">
        <f t="shared" si="6"/>
        <v>21012.26</v>
      </c>
      <c r="F57" s="111">
        <f t="shared" si="6"/>
        <v>26585.239999999998</v>
      </c>
      <c r="G57" s="111">
        <f t="shared" si="6"/>
        <v>31199.240000000005</v>
      </c>
      <c r="H57" s="145">
        <f t="shared" si="6"/>
        <v>34469.367965314304</v>
      </c>
      <c r="I57" s="145">
        <f t="shared" si="6"/>
        <v>39558.249506774402</v>
      </c>
      <c r="J57" s="145">
        <f t="shared" si="6"/>
        <v>43844.335378507312</v>
      </c>
      <c r="K57" s="145">
        <f t="shared" si="6"/>
        <v>51021.686849804741</v>
      </c>
      <c r="L57" s="145">
        <f t="shared" si="6"/>
        <v>57411.493780432502</v>
      </c>
    </row>
    <row r="59" spans="1:12">
      <c r="A59" s="75" t="s">
        <v>46</v>
      </c>
      <c r="B59" s="75"/>
      <c r="C59" s="73">
        <f t="shared" ref="C59:G59" si="7">C57-C31</f>
        <v>0</v>
      </c>
      <c r="D59" s="73">
        <f t="shared" si="7"/>
        <v>0</v>
      </c>
      <c r="E59" s="73">
        <f t="shared" si="7"/>
        <v>0</v>
      </c>
      <c r="F59" s="73">
        <f t="shared" si="7"/>
        <v>0</v>
      </c>
      <c r="G59" s="73">
        <f t="shared" si="7"/>
        <v>0</v>
      </c>
      <c r="H59" s="73">
        <f>H31-H57</f>
        <v>2.1917346748523414E-4</v>
      </c>
      <c r="I59" s="73">
        <f t="shared" ref="I59:L59" si="8">I31-I57</f>
        <v>2.9062225512461737E-3</v>
      </c>
      <c r="J59" s="73">
        <f t="shared" si="8"/>
        <v>2.3232949461089447E-3</v>
      </c>
      <c r="K59" s="73">
        <f t="shared" si="8"/>
        <v>-3.0605620268033817E-3</v>
      </c>
      <c r="L59" s="73">
        <f t="shared" si="8"/>
        <v>-2.2146772244013846E-3</v>
      </c>
    </row>
    <row r="60" spans="1:12">
      <c r="G60" s="78"/>
      <c r="H60" s="73"/>
      <c r="I60" s="73"/>
      <c r="J60" s="73"/>
      <c r="K60" s="73"/>
      <c r="L60" s="73"/>
    </row>
    <row r="63" spans="1:12">
      <c r="H63" s="73"/>
      <c r="I63" s="73"/>
      <c r="J63" s="7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F29EE-D284-4D0B-A2F3-DE8B1D4297EF}">
  <dimension ref="A1:P97"/>
  <sheetViews>
    <sheetView showGridLines="0" zoomScale="80" zoomScaleNormal="80" workbookViewId="0">
      <pane xSplit="1" ySplit="2" topLeftCell="B68" activePane="bottomRight" state="frozen"/>
      <selection pane="topRight" activeCell="B1" sqref="B1"/>
      <selection pane="bottomLeft" activeCell="A3" sqref="A3"/>
      <selection pane="bottomRight" activeCell="A86" sqref="A86"/>
    </sheetView>
  </sheetViews>
  <sheetFormatPr defaultRowHeight="15"/>
  <cols>
    <col min="1" max="1" width="71.5703125" bestFit="1" customWidth="1"/>
    <col min="2" max="2" width="10.85546875" bestFit="1" customWidth="1"/>
    <col min="3" max="6" width="11.28515625" bestFit="1" customWidth="1"/>
    <col min="7" max="11" width="10.85546875" bestFit="1" customWidth="1"/>
    <col min="21" max="21" width="64.7109375" bestFit="1" customWidth="1"/>
  </cols>
  <sheetData>
    <row r="1" spans="1:11">
      <c r="B1" s="17"/>
      <c r="C1" s="17"/>
      <c r="D1" s="189"/>
      <c r="E1" s="17"/>
      <c r="F1" s="17"/>
      <c r="G1" s="139"/>
      <c r="H1" s="139"/>
      <c r="I1" s="139"/>
      <c r="J1" s="139"/>
      <c r="K1" s="139"/>
    </row>
    <row r="2" spans="1:11">
      <c r="A2" s="3" t="s">
        <v>47</v>
      </c>
      <c r="B2" s="181">
        <v>2021</v>
      </c>
      <c r="C2" s="181">
        <f t="shared" ref="C2:K2" si="0">B2+1</f>
        <v>2022</v>
      </c>
      <c r="D2" s="190">
        <f t="shared" si="0"/>
        <v>2023</v>
      </c>
      <c r="E2" s="181">
        <f t="shared" si="0"/>
        <v>2024</v>
      </c>
      <c r="F2" s="181">
        <f t="shared" si="0"/>
        <v>2025</v>
      </c>
      <c r="G2" s="169">
        <f t="shared" si="0"/>
        <v>2026</v>
      </c>
      <c r="H2" s="169">
        <f t="shared" si="0"/>
        <v>2027</v>
      </c>
      <c r="I2" s="169">
        <f t="shared" si="0"/>
        <v>2028</v>
      </c>
      <c r="J2" s="169">
        <f t="shared" si="0"/>
        <v>2029</v>
      </c>
      <c r="K2" s="169">
        <f t="shared" si="0"/>
        <v>2030</v>
      </c>
    </row>
    <row r="3" spans="1:11">
      <c r="B3" s="17"/>
      <c r="C3" s="17"/>
      <c r="D3" s="189"/>
      <c r="E3" s="17"/>
      <c r="F3" s="17"/>
      <c r="G3" s="139"/>
      <c r="H3" s="139"/>
      <c r="I3" s="139"/>
      <c r="J3" s="139"/>
      <c r="K3" s="139"/>
    </row>
    <row r="4" spans="1:11">
      <c r="A4" t="s">
        <v>54</v>
      </c>
      <c r="B4" s="18">
        <v>13060.9</v>
      </c>
      <c r="C4" s="18">
        <v>15896.71</v>
      </c>
      <c r="D4" s="191">
        <v>19147.3</v>
      </c>
      <c r="E4" s="18">
        <v>22646.77</v>
      </c>
      <c r="F4" s="18">
        <v>24245.32</v>
      </c>
      <c r="G4" s="149">
        <f>'Revenue Forecasting '!H22</f>
        <v>25457.585999999999</v>
      </c>
      <c r="H4" s="149">
        <f>'Revenue Forecasting '!I22</f>
        <v>30695.906875000001</v>
      </c>
      <c r="I4" s="149">
        <f>'Revenue Forecasting '!J22</f>
        <v>34403.549761750008</v>
      </c>
      <c r="J4" s="149">
        <f>'Revenue Forecasting '!K22</f>
        <v>38567.63794924751</v>
      </c>
      <c r="K4" s="149">
        <f>'Revenue Forecasting '!L22</f>
        <v>43245.069498986588</v>
      </c>
    </row>
    <row r="5" spans="1:11" s="6" customFormat="1">
      <c r="A5" s="6" t="s">
        <v>103</v>
      </c>
      <c r="B5" s="182"/>
      <c r="C5" s="48">
        <f t="shared" ref="C5:K5" si="1">(C4/B4)-1</f>
        <v>0.21712209725210352</v>
      </c>
      <c r="D5" s="192">
        <f t="shared" si="1"/>
        <v>0.20448193368313317</v>
      </c>
      <c r="E5" s="48">
        <f t="shared" si="1"/>
        <v>0.1827657163150942</v>
      </c>
      <c r="F5" s="48">
        <f t="shared" si="1"/>
        <v>7.0586224878868009E-2</v>
      </c>
      <c r="G5" s="201">
        <f t="shared" si="1"/>
        <v>5.0000000000000044E-2</v>
      </c>
      <c r="H5" s="201">
        <f t="shared" si="1"/>
        <v>0.20576659841196254</v>
      </c>
      <c r="I5" s="201">
        <f t="shared" si="1"/>
        <v>0.12078623061531579</v>
      </c>
      <c r="J5" s="201">
        <f t="shared" si="1"/>
        <v>0.1210365853621056</v>
      </c>
      <c r="K5" s="201">
        <f t="shared" si="1"/>
        <v>0.12127866258997422</v>
      </c>
    </row>
    <row r="6" spans="1:11" s="1" customFormat="1">
      <c r="A6" s="4" t="s">
        <v>102</v>
      </c>
      <c r="B6" s="49">
        <f t="shared" ref="B6:K6" si="2">B4</f>
        <v>13060.9</v>
      </c>
      <c r="C6" s="49">
        <f t="shared" si="2"/>
        <v>15896.71</v>
      </c>
      <c r="D6" s="5">
        <f t="shared" si="2"/>
        <v>19147.3</v>
      </c>
      <c r="E6" s="49">
        <f t="shared" si="2"/>
        <v>22646.77</v>
      </c>
      <c r="F6" s="49">
        <f t="shared" si="2"/>
        <v>24245.32</v>
      </c>
      <c r="G6" s="172">
        <f t="shared" si="2"/>
        <v>25457.585999999999</v>
      </c>
      <c r="H6" s="172">
        <f t="shared" si="2"/>
        <v>30695.906875000001</v>
      </c>
      <c r="I6" s="172">
        <f t="shared" si="2"/>
        <v>34403.549761750008</v>
      </c>
      <c r="J6" s="172">
        <f t="shared" si="2"/>
        <v>38567.63794924751</v>
      </c>
      <c r="K6" s="172">
        <f t="shared" si="2"/>
        <v>43245.069498986588</v>
      </c>
    </row>
    <row r="7" spans="1:11">
      <c r="B7" s="17"/>
      <c r="C7" s="17"/>
      <c r="D7" s="189"/>
      <c r="E7" s="17"/>
      <c r="F7" s="17"/>
      <c r="G7" s="139"/>
      <c r="H7" s="139"/>
      <c r="I7" s="139"/>
      <c r="J7" s="139"/>
      <c r="K7" s="139"/>
    </row>
    <row r="8" spans="1:11">
      <c r="A8" s="56" t="s">
        <v>55</v>
      </c>
      <c r="B8" s="17"/>
      <c r="C8" s="17"/>
      <c r="D8" s="189"/>
      <c r="E8" s="17"/>
      <c r="F8" s="17"/>
      <c r="G8" s="139"/>
      <c r="H8" s="139"/>
      <c r="I8" s="139"/>
      <c r="J8" s="139"/>
      <c r="K8" s="139"/>
    </row>
    <row r="9" spans="1:11">
      <c r="A9" t="s">
        <v>56</v>
      </c>
      <c r="B9" s="18">
        <v>2069.54</v>
      </c>
      <c r="C9" s="18">
        <v>1360.86</v>
      </c>
      <c r="D9" s="191">
        <v>1132.07</v>
      </c>
      <c r="E9" s="18">
        <v>2515.6799999999998</v>
      </c>
      <c r="F9" s="18">
        <v>1953.68</v>
      </c>
      <c r="G9" s="149">
        <f t="shared" ref="G9:K15" si="3">F9/F$16*G$16</f>
        <v>2175.4210148958882</v>
      </c>
      <c r="H9" s="149">
        <f t="shared" si="3"/>
        <v>2623.0499972449143</v>
      </c>
      <c r="I9" s="149">
        <f t="shared" si="3"/>
        <v>2939.878319127642</v>
      </c>
      <c r="J9" s="149">
        <f t="shared" si="3"/>
        <v>3295.711152254938</v>
      </c>
      <c r="K9" s="149">
        <f t="shared" si="3"/>
        <v>3695.4105930832802</v>
      </c>
    </row>
    <row r="10" spans="1:11">
      <c r="A10" t="s">
        <v>63</v>
      </c>
      <c r="B10" s="18">
        <v>3172.79</v>
      </c>
      <c r="C10" s="18">
        <v>3207.18</v>
      </c>
      <c r="D10" s="191">
        <v>3815.65</v>
      </c>
      <c r="E10" s="18">
        <v>4493.1400000000003</v>
      </c>
      <c r="F10" s="18">
        <v>4818.5600000000004</v>
      </c>
      <c r="G10" s="149">
        <f t="shared" si="3"/>
        <v>5365.46245318411</v>
      </c>
      <c r="H10" s="149">
        <f t="shared" si="3"/>
        <v>6469.4954110829085</v>
      </c>
      <c r="I10" s="149">
        <f t="shared" si="3"/>
        <v>7250.9213757706966</v>
      </c>
      <c r="J10" s="149">
        <f t="shared" si="3"/>
        <v>8128.5481398230813</v>
      </c>
      <c r="K10" s="149">
        <f t="shared" si="3"/>
        <v>9114.3675870190491</v>
      </c>
    </row>
    <row r="11" spans="1:11">
      <c r="A11" t="s">
        <v>64</v>
      </c>
      <c r="B11" s="18">
        <v>861.22</v>
      </c>
      <c r="C11" s="18">
        <v>1508.78</v>
      </c>
      <c r="D11" s="191">
        <v>1584.29</v>
      </c>
      <c r="E11" s="18">
        <v>1641.35</v>
      </c>
      <c r="F11" s="18">
        <v>1821.66</v>
      </c>
      <c r="G11" s="149">
        <f t="shared" si="3"/>
        <v>2028.4168574153618</v>
      </c>
      <c r="H11" s="149">
        <f t="shared" si="3"/>
        <v>2445.7972943272039</v>
      </c>
      <c r="I11" s="149">
        <f t="shared" si="3"/>
        <v>2741.2159303581252</v>
      </c>
      <c r="J11" s="149">
        <f t="shared" si="3"/>
        <v>3073.0033463088794</v>
      </c>
      <c r="K11" s="149">
        <f t="shared" si="3"/>
        <v>3445.6930822837362</v>
      </c>
    </row>
    <row r="12" spans="1:11">
      <c r="A12" t="s">
        <v>62</v>
      </c>
      <c r="B12" s="17">
        <v>465.24</v>
      </c>
      <c r="C12" s="17">
        <v>770.14</v>
      </c>
      <c r="D12" s="189">
        <v>952.45</v>
      </c>
      <c r="E12" s="18">
        <v>1075.6300000000001</v>
      </c>
      <c r="F12" s="18">
        <v>1065.02</v>
      </c>
      <c r="G12" s="149">
        <f t="shared" si="3"/>
        <v>1185.8988622929132</v>
      </c>
      <c r="H12" s="149">
        <f t="shared" si="3"/>
        <v>1429.9172372475425</v>
      </c>
      <c r="I12" s="149">
        <f t="shared" si="3"/>
        <v>1602.6315504265397</v>
      </c>
      <c r="J12" s="149">
        <f t="shared" si="3"/>
        <v>1796.6086008837451</v>
      </c>
      <c r="K12" s="149">
        <f t="shared" si="3"/>
        <v>2014.4988891965709</v>
      </c>
    </row>
    <row r="13" spans="1:11">
      <c r="A13" t="s">
        <v>69</v>
      </c>
      <c r="B13" s="17">
        <v>80.540000000000006</v>
      </c>
      <c r="C13" s="17">
        <v>112.81</v>
      </c>
      <c r="D13" s="189">
        <v>195.05</v>
      </c>
      <c r="E13" s="17">
        <v>218.12</v>
      </c>
      <c r="F13" s="17">
        <v>202.49</v>
      </c>
      <c r="G13" s="149">
        <f t="shared" si="3"/>
        <v>225.47244241957148</v>
      </c>
      <c r="H13" s="149">
        <f t="shared" si="3"/>
        <v>271.8671399318838</v>
      </c>
      <c r="I13" s="149">
        <f t="shared" si="3"/>
        <v>304.70494699242266</v>
      </c>
      <c r="J13" s="149">
        <f t="shared" si="3"/>
        <v>341.58539331932684</v>
      </c>
      <c r="K13" s="149">
        <f t="shared" si="3"/>
        <v>383.01241298136517</v>
      </c>
    </row>
    <row r="14" spans="1:11">
      <c r="A14" t="s">
        <v>79</v>
      </c>
      <c r="B14" s="17">
        <v>75.09</v>
      </c>
      <c r="C14" s="17">
        <v>66.680000000000007</v>
      </c>
      <c r="D14" s="189">
        <v>41.85</v>
      </c>
      <c r="E14" s="17">
        <v>87.44</v>
      </c>
      <c r="F14" s="17">
        <v>101.26</v>
      </c>
      <c r="G14" s="149">
        <f t="shared" si="3"/>
        <v>112.75292369700138</v>
      </c>
      <c r="H14" s="149">
        <f t="shared" si="3"/>
        <v>135.95370926713693</v>
      </c>
      <c r="I14" s="149">
        <f t="shared" si="3"/>
        <v>152.37504534768493</v>
      </c>
      <c r="J14" s="149">
        <f t="shared" si="3"/>
        <v>170.8180005309647</v>
      </c>
      <c r="K14" s="149">
        <f t="shared" si="3"/>
        <v>191.53457918165361</v>
      </c>
    </row>
    <row r="15" spans="1:11">
      <c r="A15" t="s">
        <v>75</v>
      </c>
      <c r="B15" s="17">
        <v>156.01</v>
      </c>
      <c r="C15" s="17">
        <v>139.22</v>
      </c>
      <c r="D15" s="189">
        <v>211.93</v>
      </c>
      <c r="E15" s="17">
        <v>226.6</v>
      </c>
      <c r="F15" s="17">
        <v>433.64</v>
      </c>
      <c r="G15" s="149">
        <f t="shared" si="3"/>
        <v>482.85777041247945</v>
      </c>
      <c r="H15" s="149">
        <f t="shared" si="3"/>
        <v>582.21377134703971</v>
      </c>
      <c r="I15" s="149">
        <f t="shared" si="3"/>
        <v>652.53717820037605</v>
      </c>
      <c r="J15" s="149">
        <f t="shared" si="3"/>
        <v>731.51805007157327</v>
      </c>
      <c r="K15" s="149">
        <f t="shared" si="3"/>
        <v>820.23558084467959</v>
      </c>
    </row>
    <row r="16" spans="1:11">
      <c r="A16" s="1" t="s">
        <v>58</v>
      </c>
      <c r="B16" s="46">
        <f t="shared" ref="B16:E16" si="4">SUM(B9:B15)</f>
        <v>6880.43</v>
      </c>
      <c r="C16" s="46">
        <f t="shared" si="4"/>
        <v>7165.670000000001</v>
      </c>
      <c r="D16" s="193">
        <f t="shared" si="4"/>
        <v>7933.2900000000009</v>
      </c>
      <c r="E16" s="46">
        <f t="shared" si="4"/>
        <v>10257.960000000001</v>
      </c>
      <c r="F16" s="46">
        <f>SUM(F9:F15)</f>
        <v>10396.310000000001</v>
      </c>
      <c r="G16" s="140">
        <f>G6-G18</f>
        <v>11576.282324317326</v>
      </c>
      <c r="H16" s="140">
        <f>H6-H18</f>
        <v>13958.29456044863</v>
      </c>
      <c r="I16" s="140">
        <f>I6-I18</f>
        <v>15644.264346223488</v>
      </c>
      <c r="J16" s="140">
        <f>J6-J18</f>
        <v>17537.792683192511</v>
      </c>
      <c r="K16" s="140">
        <f>K6-K18</f>
        <v>19664.752724590337</v>
      </c>
    </row>
    <row r="17" spans="1:11">
      <c r="B17" s="17"/>
      <c r="C17" s="46"/>
      <c r="D17" s="193"/>
      <c r="E17" s="46"/>
      <c r="F17" s="46"/>
      <c r="G17" s="139"/>
      <c r="H17" s="139"/>
      <c r="I17" s="139"/>
      <c r="J17" s="139"/>
      <c r="K17" s="139"/>
    </row>
    <row r="18" spans="1:11">
      <c r="A18" s="4" t="s">
        <v>57</v>
      </c>
      <c r="B18" s="49">
        <f>B4-B16</f>
        <v>6180.4699999999993</v>
      </c>
      <c r="C18" s="61">
        <f>C4-C16</f>
        <v>8731.0399999999972</v>
      </c>
      <c r="D18" s="57">
        <f>D4-D16</f>
        <v>11214.009999999998</v>
      </c>
      <c r="E18" s="61">
        <f>E4-E16</f>
        <v>12388.81</v>
      </c>
      <c r="F18" s="61">
        <f>F4-F16</f>
        <v>13849.009999999998</v>
      </c>
      <c r="G18" s="151">
        <f>G6*G19</f>
        <v>13881.303675682673</v>
      </c>
      <c r="H18" s="151">
        <f>H6*H19</f>
        <v>16737.61231455137</v>
      </c>
      <c r="I18" s="151">
        <f>I6*I19</f>
        <v>18759.28541552652</v>
      </c>
      <c r="J18" s="151">
        <f>J6*J19</f>
        <v>21029.845266054999</v>
      </c>
      <c r="K18" s="151">
        <f>K6*K19</f>
        <v>23580.316774396251</v>
      </c>
    </row>
    <row r="19" spans="1:11" s="9" customFormat="1">
      <c r="A19" s="6"/>
      <c r="B19" s="48">
        <f>B18/B6</f>
        <v>0.47320399053663986</v>
      </c>
      <c r="C19" s="48">
        <f>C18/C6</f>
        <v>0.54923565945406294</v>
      </c>
      <c r="D19" s="192">
        <f>D18/D6</f>
        <v>0.58567056451823485</v>
      </c>
      <c r="E19" s="48">
        <f>E18/E6</f>
        <v>0.54704534024057294</v>
      </c>
      <c r="F19" s="48">
        <f>F18/F6</f>
        <v>0.57120343225001768</v>
      </c>
      <c r="G19" s="202">
        <f>AVERAGE(B19:F19)</f>
        <v>0.54527179739990561</v>
      </c>
      <c r="H19" s="202">
        <f>G19</f>
        <v>0.54527179739990561</v>
      </c>
      <c r="I19" s="202">
        <f t="shared" ref="I19:K19" si="5">H19</f>
        <v>0.54527179739990561</v>
      </c>
      <c r="J19" s="202">
        <f t="shared" si="5"/>
        <v>0.54527179739990561</v>
      </c>
      <c r="K19" s="202">
        <f t="shared" si="5"/>
        <v>0.54527179739990561</v>
      </c>
    </row>
    <row r="20" spans="1:11">
      <c r="B20" s="17"/>
      <c r="C20" s="17"/>
      <c r="D20" s="189"/>
      <c r="E20" s="17"/>
      <c r="F20" s="17"/>
      <c r="G20" s="139"/>
      <c r="H20" s="139"/>
      <c r="I20" s="139"/>
      <c r="J20" s="139"/>
      <c r="K20" s="139"/>
    </row>
    <row r="21" spans="1:11">
      <c r="A21" t="s">
        <v>60</v>
      </c>
      <c r="B21" s="17"/>
      <c r="C21" s="17"/>
      <c r="D21" s="189"/>
      <c r="E21" s="17"/>
      <c r="F21" s="17"/>
      <c r="G21" s="139"/>
      <c r="H21" s="139"/>
      <c r="I21" s="139"/>
      <c r="J21" s="139"/>
      <c r="K21" s="139"/>
    </row>
    <row r="22" spans="1:11">
      <c r="A22" t="s">
        <v>361</v>
      </c>
      <c r="B22" s="183"/>
      <c r="C22" s="183"/>
      <c r="D22" s="194"/>
      <c r="E22" s="183"/>
      <c r="F22" s="183">
        <v>209.72000000000003</v>
      </c>
      <c r="G22" s="203">
        <v>0</v>
      </c>
      <c r="H22" s="203">
        <v>0</v>
      </c>
      <c r="I22" s="203">
        <v>0</v>
      </c>
      <c r="J22" s="203">
        <v>0</v>
      </c>
      <c r="K22" s="203">
        <v>0</v>
      </c>
    </row>
    <row r="23" spans="1:11">
      <c r="A23" t="s">
        <v>48</v>
      </c>
      <c r="B23" s="183" t="s">
        <v>45</v>
      </c>
      <c r="C23" s="183" t="s">
        <v>45</v>
      </c>
      <c r="D23" s="194" t="s">
        <v>45</v>
      </c>
      <c r="E23" s="183" t="s">
        <v>45</v>
      </c>
      <c r="F23" s="183">
        <v>314.07</v>
      </c>
      <c r="G23" s="203">
        <v>0</v>
      </c>
      <c r="H23" s="203">
        <v>0</v>
      </c>
      <c r="I23" s="203">
        <v>0</v>
      </c>
      <c r="J23" s="203">
        <v>0</v>
      </c>
      <c r="K23" s="203">
        <v>0</v>
      </c>
    </row>
    <row r="24" spans="1:11">
      <c r="A24" t="s">
        <v>61</v>
      </c>
      <c r="B24" s="183">
        <v>-273.06</v>
      </c>
      <c r="C24" s="183">
        <v>177.1</v>
      </c>
      <c r="D24" s="194">
        <v>29.67</v>
      </c>
      <c r="E24" s="183">
        <v>-567.04</v>
      </c>
      <c r="F24" s="183">
        <v>435.76</v>
      </c>
      <c r="G24" s="203">
        <f t="shared" ref="G24:K34" si="6">F24/F$54*G$54</f>
        <v>411.49207392199583</v>
      </c>
      <c r="H24" s="203">
        <f t="shared" si="6"/>
        <v>496.16339824640869</v>
      </c>
      <c r="I24" s="203">
        <f t="shared" si="6"/>
        <v>556.09310488987819</v>
      </c>
      <c r="J24" s="203">
        <f t="shared" si="6"/>
        <v>623.40071544916032</v>
      </c>
      <c r="K24" s="203">
        <f t="shared" si="6"/>
        <v>699.00592047646762</v>
      </c>
    </row>
    <row r="25" spans="1:11">
      <c r="A25" t="s">
        <v>65</v>
      </c>
      <c r="B25" s="183">
        <v>224.04</v>
      </c>
      <c r="C25" s="183">
        <v>269.92</v>
      </c>
      <c r="D25" s="194">
        <v>453</v>
      </c>
      <c r="E25" s="185">
        <v>882.67</v>
      </c>
      <c r="F25" s="183">
        <v>707.95</v>
      </c>
      <c r="G25" s="203">
        <f t="shared" si="6"/>
        <v>668.52353068908792</v>
      </c>
      <c r="H25" s="203">
        <f t="shared" si="6"/>
        <v>806.08334355733678</v>
      </c>
      <c r="I25" s="203">
        <f t="shared" si="6"/>
        <v>903.44711218741816</v>
      </c>
      <c r="J25" s="203">
        <f t="shared" si="6"/>
        <v>1012.7972657018383</v>
      </c>
      <c r="K25" s="203">
        <f t="shared" si="6"/>
        <v>1135.6279635609403</v>
      </c>
    </row>
    <row r="26" spans="1:11">
      <c r="A26" t="s">
        <v>66</v>
      </c>
      <c r="B26" s="183">
        <v>225.87</v>
      </c>
      <c r="C26" s="183">
        <v>341.44</v>
      </c>
      <c r="D26" s="194">
        <v>457.28</v>
      </c>
      <c r="E26" s="183">
        <v>442.61</v>
      </c>
      <c r="F26" s="183">
        <v>450.98</v>
      </c>
      <c r="G26" s="203">
        <f t="shared" si="6"/>
        <v>425.86445634602001</v>
      </c>
      <c r="H26" s="203">
        <f t="shared" si="6"/>
        <v>513.49313691290024</v>
      </c>
      <c r="I26" s="203">
        <f t="shared" si="6"/>
        <v>575.5160373674438</v>
      </c>
      <c r="J26" s="203">
        <f t="shared" si="6"/>
        <v>645.17453335152913</v>
      </c>
      <c r="K26" s="203">
        <f t="shared" si="6"/>
        <v>723.42043789351339</v>
      </c>
    </row>
    <row r="27" spans="1:11">
      <c r="A27" t="s">
        <v>67</v>
      </c>
      <c r="B27" s="183">
        <v>157.84</v>
      </c>
      <c r="C27" s="183">
        <v>238.03</v>
      </c>
      <c r="D27" s="194">
        <v>353.61</v>
      </c>
      <c r="E27" s="183">
        <v>430.85</v>
      </c>
      <c r="F27" s="183">
        <v>486.38</v>
      </c>
      <c r="G27" s="203">
        <f t="shared" si="6"/>
        <v>459.29299365288313</v>
      </c>
      <c r="H27" s="203">
        <f t="shared" si="6"/>
        <v>553.80015063128394</v>
      </c>
      <c r="I27" s="203">
        <f t="shared" si="6"/>
        <v>620.69158334023086</v>
      </c>
      <c r="J27" s="203">
        <f t="shared" si="6"/>
        <v>695.81797315073118</v>
      </c>
      <c r="K27" s="203">
        <f t="shared" si="6"/>
        <v>780.20584634051852</v>
      </c>
    </row>
    <row r="28" spans="1:11">
      <c r="A28" t="s">
        <v>68</v>
      </c>
      <c r="B28" s="183">
        <v>137.12</v>
      </c>
      <c r="C28" s="183">
        <v>134.31</v>
      </c>
      <c r="D28" s="194">
        <v>188.55</v>
      </c>
      <c r="E28" s="183">
        <v>220.6</v>
      </c>
      <c r="F28" s="183">
        <v>267.37</v>
      </c>
      <c r="G28" s="203">
        <f t="shared" si="6"/>
        <v>252.47988756316326</v>
      </c>
      <c r="H28" s="203">
        <f t="shared" si="6"/>
        <v>304.43181519447012</v>
      </c>
      <c r="I28" s="203">
        <f t="shared" si="6"/>
        <v>341.20298663118859</v>
      </c>
      <c r="J28" s="203">
        <f t="shared" si="6"/>
        <v>382.50103104837984</v>
      </c>
      <c r="K28" s="203">
        <f t="shared" si="6"/>
        <v>428.8902445332136</v>
      </c>
    </row>
    <row r="29" spans="1:11">
      <c r="A29" t="s">
        <v>70</v>
      </c>
      <c r="B29" s="183">
        <v>169.45</v>
      </c>
      <c r="C29" s="183">
        <v>173.61</v>
      </c>
      <c r="D29" s="194">
        <v>226.23</v>
      </c>
      <c r="E29" s="183">
        <v>234.33</v>
      </c>
      <c r="F29" s="183">
        <v>274.36</v>
      </c>
      <c r="G29" s="203">
        <f t="shared" si="6"/>
        <v>259.08060721782351</v>
      </c>
      <c r="H29" s="203">
        <f t="shared" si="6"/>
        <v>312.39074247954079</v>
      </c>
      <c r="I29" s="203">
        <f t="shared" si="6"/>
        <v>350.12324274276438</v>
      </c>
      <c r="J29" s="203">
        <f t="shared" si="6"/>
        <v>392.50096450025615</v>
      </c>
      <c r="K29" s="203">
        <f t="shared" si="6"/>
        <v>440.10295654012225</v>
      </c>
    </row>
    <row r="30" spans="1:11">
      <c r="A30" t="s">
        <v>71</v>
      </c>
      <c r="B30" s="183">
        <v>33.79</v>
      </c>
      <c r="C30" s="183">
        <v>55.95</v>
      </c>
      <c r="D30" s="194">
        <v>154.44999999999999</v>
      </c>
      <c r="E30" s="183">
        <v>164.26</v>
      </c>
      <c r="F30" s="183">
        <v>199.79</v>
      </c>
      <c r="G30" s="203">
        <f t="shared" si="6"/>
        <v>188.66348781181279</v>
      </c>
      <c r="H30" s="203">
        <f t="shared" si="6"/>
        <v>227.48413194338627</v>
      </c>
      <c r="I30" s="203">
        <f t="shared" si="6"/>
        <v>254.96108276562506</v>
      </c>
      <c r="J30" s="203">
        <f t="shared" si="6"/>
        <v>285.82070162380154</v>
      </c>
      <c r="K30" s="203">
        <f t="shared" si="6"/>
        <v>320.48465405726432</v>
      </c>
    </row>
    <row r="31" spans="1:11">
      <c r="A31" t="s">
        <v>72</v>
      </c>
      <c r="B31" s="183">
        <v>100.84</v>
      </c>
      <c r="C31" s="183">
        <v>451.28</v>
      </c>
      <c r="D31" s="194" t="s">
        <v>45</v>
      </c>
      <c r="E31" s="183">
        <v>912.53</v>
      </c>
      <c r="F31" s="183">
        <v>259.42</v>
      </c>
      <c r="G31" s="203">
        <f t="shared" si="6"/>
        <v>244.97263130357115</v>
      </c>
      <c r="H31" s="203">
        <f t="shared" si="6"/>
        <v>295.37981635093485</v>
      </c>
      <c r="I31" s="203">
        <f t="shared" si="6"/>
        <v>331.05763096780845</v>
      </c>
      <c r="J31" s="203">
        <f t="shared" si="6"/>
        <v>371.12771617822006</v>
      </c>
      <c r="K31" s="203">
        <f t="shared" si="6"/>
        <v>416.1375892463862</v>
      </c>
    </row>
    <row r="32" spans="1:11">
      <c r="A32" t="s">
        <v>73</v>
      </c>
      <c r="B32" s="183">
        <v>-39.89</v>
      </c>
      <c r="C32" s="183">
        <v>-246.87</v>
      </c>
      <c r="D32" s="194" t="s">
        <v>45</v>
      </c>
      <c r="E32" s="183">
        <v>-316.49</v>
      </c>
      <c r="F32" s="200">
        <v>-78.47</v>
      </c>
      <c r="G32" s="203">
        <f t="shared" si="6"/>
        <v>-74.099924363546464</v>
      </c>
      <c r="H32" s="203">
        <f t="shared" si="6"/>
        <v>-89.347213742417139</v>
      </c>
      <c r="I32" s="203">
        <f t="shared" si="6"/>
        <v>-100.13912690634466</v>
      </c>
      <c r="J32" s="203">
        <f t="shared" si="6"/>
        <v>-112.25962488823116</v>
      </c>
      <c r="K32" s="203">
        <f t="shared" si="6"/>
        <v>-125.87432205752803</v>
      </c>
    </row>
    <row r="33" spans="1:12">
      <c r="A33" t="s">
        <v>74</v>
      </c>
      <c r="B33" s="183">
        <v>146</v>
      </c>
      <c r="C33" s="183">
        <v>595.13</v>
      </c>
      <c r="D33" s="194">
        <v>984.91</v>
      </c>
      <c r="E33" s="183">
        <v>310.89999999999998</v>
      </c>
      <c r="F33" s="200">
        <v>185.34</v>
      </c>
      <c r="G33" s="203">
        <f t="shared" si="6"/>
        <v>175.01822328966105</v>
      </c>
      <c r="H33" s="203">
        <f t="shared" si="6"/>
        <v>211.03112775607994</v>
      </c>
      <c r="I33" s="203">
        <f t="shared" si="6"/>
        <v>236.52078222023599</v>
      </c>
      <c r="J33" s="203">
        <f t="shared" si="6"/>
        <v>265.14845006734754</v>
      </c>
      <c r="K33" s="203">
        <f t="shared" si="6"/>
        <v>297.30529947932007</v>
      </c>
      <c r="L33" s="24"/>
    </row>
    <row r="34" spans="1:12">
      <c r="A34" t="s">
        <v>76</v>
      </c>
      <c r="B34" s="183">
        <v>12.68</v>
      </c>
      <c r="C34" s="183">
        <v>38.07</v>
      </c>
      <c r="D34" s="194">
        <v>29.1</v>
      </c>
      <c r="E34" s="183">
        <v>16.510000000000002</v>
      </c>
      <c r="F34" s="183">
        <v>7.32</v>
      </c>
      <c r="G34" s="203">
        <f t="shared" si="6"/>
        <v>6.9123416126055854</v>
      </c>
      <c r="H34" s="203">
        <f t="shared" si="6"/>
        <v>8.3346706332928964</v>
      </c>
      <c r="I34" s="203">
        <f t="shared" si="6"/>
        <v>9.3413840825085117</v>
      </c>
      <c r="J34" s="203">
        <f t="shared" si="6"/>
        <v>10.472033314411268</v>
      </c>
      <c r="K34" s="203">
        <f t="shared" si="6"/>
        <v>11.742067509380723</v>
      </c>
    </row>
    <row r="35" spans="1:12">
      <c r="A35" t="s">
        <v>73</v>
      </c>
      <c r="B35" s="183">
        <v>-11.89</v>
      </c>
      <c r="C35" s="183">
        <v>-24.11</v>
      </c>
      <c r="D35" s="194">
        <v>-17.23</v>
      </c>
      <c r="E35" s="183" t="s">
        <v>45</v>
      </c>
      <c r="F35" s="183" t="s">
        <v>45</v>
      </c>
      <c r="G35" s="203">
        <v>0</v>
      </c>
      <c r="H35" s="203">
        <v>0</v>
      </c>
      <c r="I35" s="203">
        <v>0</v>
      </c>
      <c r="J35" s="203">
        <v>0</v>
      </c>
      <c r="K35" s="203">
        <v>0</v>
      </c>
    </row>
    <row r="36" spans="1:12">
      <c r="A36" t="s">
        <v>77</v>
      </c>
      <c r="B36" s="183" t="s">
        <v>45</v>
      </c>
      <c r="C36" s="183">
        <v>7.78</v>
      </c>
      <c r="D36" s="194">
        <v>3.7</v>
      </c>
      <c r="E36" s="183" t="s">
        <v>45</v>
      </c>
      <c r="F36" s="200">
        <v>35</v>
      </c>
      <c r="G36" s="203">
        <f>F36/F$54*G$54</f>
        <v>33.050813721474789</v>
      </c>
      <c r="H36" s="203">
        <f>G36/G$54*H$54</f>
        <v>39.851567235690077</v>
      </c>
      <c r="I36" s="203">
        <f>H36/H$54*I$54</f>
        <v>44.665087826201898</v>
      </c>
      <c r="J36" s="203">
        <f>I36/I$54*J$54</f>
        <v>50.071197541583928</v>
      </c>
      <c r="K36" s="203">
        <f>J36/J$54*K$54</f>
        <v>56.143765413705637</v>
      </c>
    </row>
    <row r="37" spans="1:12">
      <c r="A37" t="s">
        <v>78</v>
      </c>
      <c r="B37" s="183">
        <v>1.08</v>
      </c>
      <c r="C37" s="183">
        <v>21.46</v>
      </c>
      <c r="D37" s="194" t="s">
        <v>45</v>
      </c>
      <c r="E37" s="183" t="s">
        <v>45</v>
      </c>
      <c r="F37" s="183" t="s">
        <v>45</v>
      </c>
      <c r="G37" s="203">
        <v>0</v>
      </c>
      <c r="H37" s="203">
        <v>0</v>
      </c>
      <c r="I37" s="203">
        <v>0</v>
      </c>
      <c r="J37" s="203">
        <v>0</v>
      </c>
      <c r="K37" s="203">
        <v>0</v>
      </c>
    </row>
    <row r="38" spans="1:12">
      <c r="A38" t="s">
        <v>73</v>
      </c>
      <c r="B38" s="183" t="s">
        <v>45</v>
      </c>
      <c r="C38" s="183" t="s">
        <v>45</v>
      </c>
      <c r="D38" s="194" t="s">
        <v>45</v>
      </c>
      <c r="E38" s="183" t="s">
        <v>45</v>
      </c>
      <c r="F38" s="183" t="s">
        <v>45</v>
      </c>
      <c r="G38" s="203">
        <v>0</v>
      </c>
      <c r="H38" s="203">
        <v>0</v>
      </c>
      <c r="I38" s="203">
        <v>0</v>
      </c>
      <c r="J38" s="203">
        <v>0</v>
      </c>
      <c r="K38" s="203">
        <v>0</v>
      </c>
    </row>
    <row r="39" spans="1:12">
      <c r="A39" t="s">
        <v>80</v>
      </c>
      <c r="B39" s="183">
        <v>0.1</v>
      </c>
      <c r="C39" s="183">
        <v>0.11</v>
      </c>
      <c r="D39" s="194">
        <v>0.63</v>
      </c>
      <c r="E39" s="183" t="s">
        <v>45</v>
      </c>
      <c r="F39" s="183" t="s">
        <v>45</v>
      </c>
      <c r="G39" s="203">
        <v>0</v>
      </c>
      <c r="H39" s="203">
        <v>0</v>
      </c>
      <c r="I39" s="203">
        <v>0</v>
      </c>
      <c r="J39" s="203">
        <v>0</v>
      </c>
      <c r="K39" s="203">
        <v>0</v>
      </c>
    </row>
    <row r="40" spans="1:12">
      <c r="A40" t="s">
        <v>81</v>
      </c>
      <c r="B40" s="183">
        <v>0.35</v>
      </c>
      <c r="C40" s="183">
        <v>0.1</v>
      </c>
      <c r="D40" s="194">
        <v>0.19</v>
      </c>
      <c r="E40" s="183" t="s">
        <v>45</v>
      </c>
      <c r="F40" s="183" t="s">
        <v>45</v>
      </c>
      <c r="G40" s="203">
        <v>0</v>
      </c>
      <c r="H40" s="203">
        <v>0</v>
      </c>
      <c r="I40" s="203">
        <v>0</v>
      </c>
      <c r="J40" s="203">
        <v>0</v>
      </c>
      <c r="K40" s="203">
        <v>0</v>
      </c>
    </row>
    <row r="41" spans="1:12">
      <c r="A41" t="s">
        <v>82</v>
      </c>
      <c r="B41" s="183">
        <v>16.34</v>
      </c>
      <c r="C41" s="183">
        <v>32.31</v>
      </c>
      <c r="D41" s="194">
        <v>67.3</v>
      </c>
      <c r="E41" s="183">
        <v>75.209999999999994</v>
      </c>
      <c r="F41" s="183">
        <v>89.01</v>
      </c>
      <c r="G41" s="203">
        <f>F41/F$54*G$54</f>
        <v>84.052940838527746</v>
      </c>
      <c r="H41" s="203">
        <f>G41/G$54*H$54</f>
        <v>101.34822856139353</v>
      </c>
      <c r="I41" s="203">
        <f>H41/H$54*I$54</f>
        <v>113.58969906886374</v>
      </c>
      <c r="J41" s="203">
        <f>I41/I$54*J$54</f>
        <v>127.33820837646815</v>
      </c>
      <c r="K41" s="203">
        <f>J41/J$54*K$54</f>
        <v>142.78161598496968</v>
      </c>
    </row>
    <row r="42" spans="1:12">
      <c r="A42" t="s">
        <v>83</v>
      </c>
      <c r="B42" s="183" t="s">
        <v>45</v>
      </c>
      <c r="C42" s="183" t="s">
        <v>45</v>
      </c>
      <c r="D42" s="194" t="s">
        <v>45</v>
      </c>
      <c r="E42" s="183" t="s">
        <v>45</v>
      </c>
      <c r="F42" s="183" t="s">
        <v>45</v>
      </c>
      <c r="G42" s="203">
        <v>0</v>
      </c>
      <c r="H42" s="203">
        <v>0</v>
      </c>
      <c r="I42" s="203">
        <v>0</v>
      </c>
      <c r="J42" s="203">
        <v>0</v>
      </c>
      <c r="K42" s="203">
        <v>0</v>
      </c>
    </row>
    <row r="43" spans="1:12">
      <c r="A43" t="s">
        <v>84</v>
      </c>
      <c r="B43" s="183" t="s">
        <v>45</v>
      </c>
      <c r="C43" s="183" t="s">
        <v>45</v>
      </c>
      <c r="D43" s="194" t="s">
        <v>45</v>
      </c>
      <c r="E43" s="183" t="s">
        <v>45</v>
      </c>
      <c r="F43" s="183" t="s">
        <v>45</v>
      </c>
      <c r="G43" s="203">
        <v>0</v>
      </c>
      <c r="H43" s="203">
        <v>0</v>
      </c>
      <c r="I43" s="203">
        <v>0</v>
      </c>
      <c r="J43" s="203">
        <v>0</v>
      </c>
      <c r="K43" s="203">
        <v>0</v>
      </c>
    </row>
    <row r="44" spans="1:12">
      <c r="A44" t="s">
        <v>87</v>
      </c>
      <c r="B44" s="183">
        <v>6</v>
      </c>
      <c r="C44" s="183">
        <v>9.9700000000000006</v>
      </c>
      <c r="D44" s="194">
        <v>12.03</v>
      </c>
      <c r="E44" s="183">
        <v>12.72</v>
      </c>
      <c r="F44" s="183">
        <v>13.82</v>
      </c>
      <c r="G44" s="203">
        <f t="shared" ref="G44:K45" si="7">F44/F$54*G$54</f>
        <v>13.050349875165189</v>
      </c>
      <c r="H44" s="203">
        <f t="shared" si="7"/>
        <v>15.735675977063909</v>
      </c>
      <c r="I44" s="203">
        <f t="shared" si="7"/>
        <v>17.636328964517435</v>
      </c>
      <c r="J44" s="203">
        <f t="shared" si="7"/>
        <v>19.770970000705425</v>
      </c>
      <c r="K44" s="203">
        <f t="shared" si="7"/>
        <v>22.168766800497483</v>
      </c>
    </row>
    <row r="45" spans="1:12">
      <c r="A45" t="s">
        <v>88</v>
      </c>
      <c r="B45" s="183">
        <v>0.18</v>
      </c>
      <c r="C45" s="183">
        <v>0.03</v>
      </c>
      <c r="D45" s="194">
        <v>0.96</v>
      </c>
      <c r="E45" s="183">
        <v>1</v>
      </c>
      <c r="F45" s="183">
        <v>0.9</v>
      </c>
      <c r="G45" s="203">
        <f t="shared" si="7"/>
        <v>0.84987806712363734</v>
      </c>
      <c r="H45" s="203">
        <f t="shared" si="7"/>
        <v>1.0247545860606018</v>
      </c>
      <c r="I45" s="203">
        <f t="shared" si="7"/>
        <v>1.1485308298166201</v>
      </c>
      <c r="J45" s="203">
        <f t="shared" si="7"/>
        <v>1.2875450796407293</v>
      </c>
      <c r="K45" s="203">
        <f t="shared" si="7"/>
        <v>1.4436968249238591</v>
      </c>
    </row>
    <row r="46" spans="1:12">
      <c r="A46" t="s">
        <v>360</v>
      </c>
      <c r="B46" s="184" t="s">
        <v>45</v>
      </c>
      <c r="C46" s="183">
        <v>2.38</v>
      </c>
      <c r="D46" s="194">
        <v>1.34</v>
      </c>
      <c r="E46" s="184" t="s">
        <v>45</v>
      </c>
      <c r="F46" s="184" t="s">
        <v>45</v>
      </c>
      <c r="G46" s="203">
        <v>0</v>
      </c>
      <c r="H46" s="203">
        <v>0</v>
      </c>
      <c r="I46" s="203">
        <v>0</v>
      </c>
      <c r="J46" s="203">
        <v>0</v>
      </c>
      <c r="K46" s="203">
        <v>0</v>
      </c>
    </row>
    <row r="47" spans="1:12">
      <c r="A47" t="s">
        <v>85</v>
      </c>
      <c r="B47" s="183">
        <v>30.69</v>
      </c>
      <c r="C47" s="183">
        <v>40.74</v>
      </c>
      <c r="D47" s="194">
        <v>50.94</v>
      </c>
      <c r="E47" s="183">
        <v>66.98</v>
      </c>
      <c r="F47" s="183">
        <v>74.84</v>
      </c>
      <c r="G47" s="203">
        <f>AVERAGE(D85:F85)*0.02</f>
        <v>67.775266666666624</v>
      </c>
      <c r="H47" s="203">
        <f>AVERAGE(E85:G85)*0.02</f>
        <v>70.29030865503573</v>
      </c>
      <c r="I47" s="203">
        <f>AVERAGE(F85:H85)*0.02</f>
        <v>74.344358241529051</v>
      </c>
      <c r="J47" s="203">
        <f>AVERAGE(G85:I85)*0.02</f>
        <v>79.660830925310464</v>
      </c>
      <c r="K47" s="203">
        <f>AVERAGE(H85:J85)*0.02</f>
        <v>91.319723115481665</v>
      </c>
    </row>
    <row r="48" spans="1:12">
      <c r="A48" t="s">
        <v>99</v>
      </c>
      <c r="B48" s="183" t="s">
        <v>45</v>
      </c>
      <c r="C48" s="183" t="s">
        <v>45</v>
      </c>
      <c r="D48" s="194">
        <v>14.22</v>
      </c>
      <c r="E48" s="183" t="s">
        <v>45</v>
      </c>
      <c r="F48" s="183" t="s">
        <v>45</v>
      </c>
      <c r="G48" s="203">
        <v>0</v>
      </c>
      <c r="H48" s="203">
        <v>0</v>
      </c>
      <c r="I48" s="203">
        <v>0</v>
      </c>
      <c r="J48" s="203">
        <v>0</v>
      </c>
      <c r="K48" s="203">
        <v>0</v>
      </c>
    </row>
    <row r="49" spans="1:16">
      <c r="A49" t="s">
        <v>100</v>
      </c>
      <c r="B49" s="183" t="s">
        <v>45</v>
      </c>
      <c r="C49" s="183" t="s">
        <v>45</v>
      </c>
      <c r="D49" s="194">
        <v>12.69</v>
      </c>
      <c r="E49" s="183" t="s">
        <v>45</v>
      </c>
      <c r="F49" s="183" t="s">
        <v>45</v>
      </c>
      <c r="G49" s="203">
        <v>0</v>
      </c>
      <c r="H49" s="203">
        <v>0</v>
      </c>
      <c r="I49" s="203">
        <v>0</v>
      </c>
      <c r="J49" s="203">
        <v>0</v>
      </c>
      <c r="K49" s="203">
        <v>0</v>
      </c>
    </row>
    <row r="50" spans="1:16">
      <c r="A50" t="s">
        <v>101</v>
      </c>
      <c r="B50" s="185">
        <v>750.36</v>
      </c>
      <c r="C50" s="185">
        <v>2315.4499999999998</v>
      </c>
      <c r="D50" s="195">
        <v>2648.89</v>
      </c>
      <c r="E50" s="185">
        <v>3321.01</v>
      </c>
      <c r="F50" s="185">
        <v>3445.3</v>
      </c>
      <c r="G50" s="203">
        <f>F50/F$54*G$54</f>
        <v>3253.4276718456313</v>
      </c>
      <c r="H50" s="203">
        <f>G50/G$54*H$54</f>
        <v>3922.8744170606574</v>
      </c>
      <c r="I50" s="203">
        <f>H50/H$54*I$54</f>
        <v>4396.7036310746689</v>
      </c>
      <c r="J50" s="203">
        <f>I50/I$54*J$54</f>
        <v>4928.8656254291172</v>
      </c>
      <c r="K50" s="203">
        <f>J50/J$54*K$54</f>
        <v>5526.631856566858</v>
      </c>
    </row>
    <row r="51" spans="1:16">
      <c r="B51" s="46"/>
      <c r="C51" s="46"/>
      <c r="D51" s="193"/>
      <c r="E51" s="46"/>
      <c r="F51" s="46"/>
      <c r="G51" s="139"/>
      <c r="H51" s="139"/>
      <c r="I51" s="139"/>
      <c r="J51" s="139"/>
      <c r="K51" s="139"/>
    </row>
    <row r="52" spans="1:16">
      <c r="A52" t="s">
        <v>89</v>
      </c>
      <c r="B52" s="17">
        <f t="shared" ref="B52:E52" si="8">SUM(B22:B50)</f>
        <v>1687.89</v>
      </c>
      <c r="C52" s="17">
        <f t="shared" si="8"/>
        <v>4634.1900000000005</v>
      </c>
      <c r="D52" s="189">
        <f t="shared" si="8"/>
        <v>5672.46</v>
      </c>
      <c r="E52" s="17">
        <f t="shared" si="8"/>
        <v>6208.65</v>
      </c>
      <c r="F52" s="17">
        <f>SUM(F22:F50)</f>
        <v>7378.8600000000015</v>
      </c>
      <c r="G52" s="149">
        <f t="shared" ref="G52:K52" si="9">SUM(G24:G50)</f>
        <v>6470.4072300596663</v>
      </c>
      <c r="H52" s="149">
        <f t="shared" si="9"/>
        <v>7790.3700720391189</v>
      </c>
      <c r="I52" s="149">
        <f t="shared" si="9"/>
        <v>8726.9034562943561</v>
      </c>
      <c r="J52" s="149">
        <f t="shared" si="9"/>
        <v>9779.4961368502718</v>
      </c>
      <c r="K52" s="149">
        <f t="shared" si="9"/>
        <v>10967.538082286035</v>
      </c>
      <c r="L52" s="24"/>
      <c r="M52" s="24"/>
      <c r="N52" s="24"/>
      <c r="O52" s="24"/>
      <c r="P52" s="24"/>
    </row>
    <row r="53" spans="1:16">
      <c r="B53" s="48">
        <f>B52/B6</f>
        <v>0.12923228873967338</v>
      </c>
      <c r="C53" s="48">
        <f>C52/C6</f>
        <v>0.29151881112506933</v>
      </c>
      <c r="D53" s="192">
        <f>D52/D6</f>
        <v>0.29625377990630536</v>
      </c>
      <c r="E53" s="48">
        <f>E52/E6</f>
        <v>0.27415167814218094</v>
      </c>
      <c r="F53" s="48">
        <f>F52/F6</f>
        <v>0.30434162139332466</v>
      </c>
      <c r="G53" s="201">
        <f t="shared" ref="G53:K53" si="10">G52/G6</f>
        <v>0.25416420983747895</v>
      </c>
      <c r="H53" s="201">
        <f t="shared" si="10"/>
        <v>0.25379181998965195</v>
      </c>
      <c r="I53" s="201">
        <f t="shared" si="10"/>
        <v>0.25366287829975498</v>
      </c>
      <c r="J53" s="201">
        <f t="shared" si="10"/>
        <v>0.25356741187312143</v>
      </c>
      <c r="K53" s="201">
        <f t="shared" si="10"/>
        <v>0.25361360750138351</v>
      </c>
    </row>
    <row r="54" spans="1:16" s="4" customFormat="1">
      <c r="A54" s="4" t="s">
        <v>91</v>
      </c>
      <c r="B54" s="49">
        <f>B18-B52</f>
        <v>4492.579999999999</v>
      </c>
      <c r="C54" s="49">
        <f>C18-C52</f>
        <v>4096.8499999999967</v>
      </c>
      <c r="D54" s="5">
        <f>D18-D52</f>
        <v>5541.5499999999984</v>
      </c>
      <c r="E54" s="49">
        <f>E18-E52</f>
        <v>6180.16</v>
      </c>
      <c r="F54" s="49">
        <f>F18-F52</f>
        <v>6470.1499999999969</v>
      </c>
      <c r="G54" s="172">
        <f>G6*G55</f>
        <v>6109.8206399999999</v>
      </c>
      <c r="H54" s="172">
        <f>H6*H55</f>
        <v>7367.0176499999998</v>
      </c>
      <c r="I54" s="172">
        <f>I6*I55</f>
        <v>8256.8519428200016</v>
      </c>
      <c r="J54" s="172">
        <f>J6*J55</f>
        <v>9256.233107819402</v>
      </c>
      <c r="K54" s="172">
        <f>K6*K55</f>
        <v>10378.816679756781</v>
      </c>
    </row>
    <row r="55" spans="1:16">
      <c r="B55" s="48">
        <f>B54/B6</f>
        <v>0.34397170179696646</v>
      </c>
      <c r="C55" s="48">
        <f>C54/C6</f>
        <v>0.25771684832899366</v>
      </c>
      <c r="D55" s="192">
        <f>D54/D6</f>
        <v>0.28941678461192955</v>
      </c>
      <c r="E55" s="48">
        <f>E54/E6</f>
        <v>0.27289366209839194</v>
      </c>
      <c r="F55" s="48">
        <f>F54/F6</f>
        <v>0.26686181085669303</v>
      </c>
      <c r="G55" s="201">
        <f>24%</f>
        <v>0.24</v>
      </c>
      <c r="H55" s="201">
        <f>24%</f>
        <v>0.24</v>
      </c>
      <c r="I55" s="201">
        <f>24%</f>
        <v>0.24</v>
      </c>
      <c r="J55" s="201">
        <f>24%</f>
        <v>0.24</v>
      </c>
      <c r="K55" s="201">
        <f>24%</f>
        <v>0.24</v>
      </c>
    </row>
    <row r="56" spans="1:16">
      <c r="B56" s="48"/>
      <c r="C56" s="48"/>
      <c r="D56" s="192"/>
      <c r="E56" s="48"/>
      <c r="F56" s="48"/>
      <c r="G56" s="139"/>
      <c r="H56" s="139"/>
      <c r="I56" s="139"/>
      <c r="J56" s="139"/>
      <c r="K56" s="139"/>
    </row>
    <row r="57" spans="1:16">
      <c r="A57" t="s">
        <v>59</v>
      </c>
      <c r="B57" s="17">
        <v>580.52</v>
      </c>
      <c r="C57" s="17">
        <v>918.43</v>
      </c>
      <c r="D57" s="191">
        <v>1318.18</v>
      </c>
      <c r="E57" s="18">
        <v>1502.16</v>
      </c>
      <c r="F57" s="18">
        <v>1614.57</v>
      </c>
      <c r="G57" s="149">
        <f>Notes!G13+Notes!G33+Notes!G53</f>
        <v>1678.8064604667024</v>
      </c>
      <c r="H57" s="149">
        <f>Notes!H13+Notes!H33+Notes!H53</f>
        <v>1854.4043296240206</v>
      </c>
      <c r="I57" s="149">
        <f>Notes!I13+Notes!I33+Notes!I53</f>
        <v>2046.3049320992523</v>
      </c>
      <c r="J57" s="149">
        <f>Notes!J13+Notes!J33+Notes!J53</f>
        <v>2255.0728289447352</v>
      </c>
      <c r="K57" s="149">
        <f>Notes!K13+Notes!K33+Notes!K53</f>
        <v>2487.7172010620084</v>
      </c>
    </row>
    <row r="58" spans="1:16">
      <c r="B58" s="17"/>
      <c r="C58" s="17"/>
      <c r="D58" s="191"/>
      <c r="E58" s="18"/>
      <c r="F58" s="18"/>
      <c r="G58" s="139"/>
      <c r="H58" s="139"/>
      <c r="I58" s="139"/>
      <c r="J58" s="139"/>
      <c r="K58" s="139"/>
    </row>
    <row r="59" spans="1:16" s="4" customFormat="1">
      <c r="A59" s="4" t="s">
        <v>90</v>
      </c>
      <c r="B59" s="49">
        <f t="shared" ref="B59:K59" si="11">B54-B57</f>
        <v>3912.059999999999</v>
      </c>
      <c r="C59" s="49">
        <f t="shared" si="11"/>
        <v>3178.4199999999969</v>
      </c>
      <c r="D59" s="5">
        <f t="shared" si="11"/>
        <v>4223.3699999999981</v>
      </c>
      <c r="E59" s="49">
        <f t="shared" si="11"/>
        <v>4678</v>
      </c>
      <c r="F59" s="49">
        <f t="shared" si="11"/>
        <v>4855.5799999999972</v>
      </c>
      <c r="G59" s="172">
        <f t="shared" si="11"/>
        <v>4431.0141795332975</v>
      </c>
      <c r="H59" s="172">
        <f t="shared" si="11"/>
        <v>5512.6133203759791</v>
      </c>
      <c r="I59" s="172">
        <f t="shared" si="11"/>
        <v>6210.5470107207493</v>
      </c>
      <c r="J59" s="172">
        <f t="shared" si="11"/>
        <v>7001.1602788746668</v>
      </c>
      <c r="K59" s="172">
        <f t="shared" si="11"/>
        <v>7891.0994786947722</v>
      </c>
    </row>
    <row r="60" spans="1:16">
      <c r="A60" s="58"/>
      <c r="B60" s="22">
        <f>B59/B6</f>
        <v>0.29952453506266791</v>
      </c>
      <c r="C60" s="22">
        <f t="shared" ref="C60:K60" si="12">C59/C6</f>
        <v>0.1999420005774778</v>
      </c>
      <c r="D60" s="196">
        <f t="shared" si="12"/>
        <v>0.22057261337107573</v>
      </c>
      <c r="E60" s="22">
        <f t="shared" si="12"/>
        <v>0.20656367331853503</v>
      </c>
      <c r="F60" s="22">
        <f t="shared" si="12"/>
        <v>0.20026875289746629</v>
      </c>
      <c r="G60" s="150">
        <f t="shared" si="12"/>
        <v>0.17405476621126989</v>
      </c>
      <c r="H60" s="150">
        <f t="shared" si="12"/>
        <v>0.17958789563782773</v>
      </c>
      <c r="I60" s="150">
        <f t="shared" si="12"/>
        <v>0.18052052923985357</v>
      </c>
      <c r="J60" s="150">
        <f t="shared" si="12"/>
        <v>0.18152940265846035</v>
      </c>
      <c r="K60" s="150">
        <f t="shared" si="12"/>
        <v>0.18247396917421288</v>
      </c>
    </row>
    <row r="61" spans="1:16">
      <c r="A61" s="58"/>
      <c r="B61" s="22"/>
      <c r="C61" s="22"/>
      <c r="D61" s="196"/>
      <c r="E61" s="22"/>
      <c r="F61" s="22"/>
      <c r="G61" s="150"/>
      <c r="H61" s="150"/>
      <c r="I61" s="150"/>
      <c r="J61" s="150"/>
      <c r="K61" s="150"/>
    </row>
    <row r="62" spans="1:16">
      <c r="A62" t="s">
        <v>49</v>
      </c>
      <c r="B62" s="17">
        <v>-60.03</v>
      </c>
      <c r="C62" s="17">
        <v>-34.85</v>
      </c>
      <c r="D62" s="189">
        <v>-58.12</v>
      </c>
      <c r="E62" s="17">
        <v>-136.59</v>
      </c>
      <c r="F62" s="17">
        <v>-202.66</v>
      </c>
      <c r="G62" s="139">
        <f>-'Key Indicator'!H260</f>
        <v>-100</v>
      </c>
      <c r="H62" s="139">
        <f>-'Key Indicator'!I260</f>
        <v>-100</v>
      </c>
      <c r="I62" s="139">
        <f>-'Key Indicator'!J260</f>
        <v>-100</v>
      </c>
      <c r="J62" s="139">
        <f>-'Key Indicator'!K260</f>
        <v>-100</v>
      </c>
      <c r="K62" s="139">
        <f>-'Key Indicator'!L260</f>
        <v>-100</v>
      </c>
    </row>
    <row r="63" spans="1:16">
      <c r="A63" t="s">
        <v>50</v>
      </c>
      <c r="B63" s="17">
        <v>76.599999999999994</v>
      </c>
      <c r="C63" s="17">
        <v>143.9</v>
      </c>
      <c r="D63" s="189">
        <v>196.15</v>
      </c>
      <c r="E63" s="17">
        <v>162.1</v>
      </c>
      <c r="F63" s="17">
        <v>181.97</v>
      </c>
      <c r="G63" s="149">
        <f>Notes!G76</f>
        <v>173.40405386279946</v>
      </c>
      <c r="H63" s="149">
        <f>Notes!H76</f>
        <v>163.8168</v>
      </c>
      <c r="I63" s="149">
        <f>Notes!I76</f>
        <v>167.80015999999995</v>
      </c>
      <c r="J63" s="149">
        <f>Notes!J76</f>
        <v>164.46819199999999</v>
      </c>
      <c r="K63" s="149">
        <f>Notes!K76</f>
        <v>164.94183039999996</v>
      </c>
    </row>
    <row r="64" spans="1:16">
      <c r="A64" t="s">
        <v>92</v>
      </c>
      <c r="B64" s="17">
        <f t="shared" ref="B64:K64" si="13">SUM(B62:B63)</f>
        <v>16.569999999999993</v>
      </c>
      <c r="C64" s="17">
        <f t="shared" si="13"/>
        <v>109.05000000000001</v>
      </c>
      <c r="D64" s="189">
        <f t="shared" si="13"/>
        <v>138.03</v>
      </c>
      <c r="E64" s="17">
        <f t="shared" si="13"/>
        <v>25.509999999999991</v>
      </c>
      <c r="F64" s="17">
        <f t="shared" si="13"/>
        <v>-20.689999999999998</v>
      </c>
      <c r="G64" s="149">
        <f t="shared" si="13"/>
        <v>73.404053862799458</v>
      </c>
      <c r="H64" s="149">
        <f t="shared" si="13"/>
        <v>63.816800000000001</v>
      </c>
      <c r="I64" s="149">
        <f t="shared" si="13"/>
        <v>67.800159999999948</v>
      </c>
      <c r="J64" s="149">
        <f t="shared" si="13"/>
        <v>64.468191999999988</v>
      </c>
      <c r="K64" s="149">
        <f t="shared" si="13"/>
        <v>64.941830399999958</v>
      </c>
    </row>
    <row r="65" spans="1:11">
      <c r="B65" s="17"/>
      <c r="C65" s="17"/>
      <c r="D65" s="189"/>
      <c r="E65" s="17"/>
      <c r="F65" s="17"/>
      <c r="G65" s="139"/>
      <c r="H65" s="139"/>
      <c r="I65" s="139"/>
      <c r="J65" s="139"/>
      <c r="K65" s="139"/>
    </row>
    <row r="66" spans="1:11" s="4" customFormat="1">
      <c r="A66" s="4" t="s">
        <v>93</v>
      </c>
      <c r="B66" s="49">
        <f t="shared" ref="B66:K66" si="14">B59-B64</f>
        <v>3895.4899999999989</v>
      </c>
      <c r="C66" s="49">
        <f t="shared" si="14"/>
        <v>3069.3699999999967</v>
      </c>
      <c r="D66" s="5">
        <f t="shared" si="14"/>
        <v>4085.3399999999979</v>
      </c>
      <c r="E66" s="49">
        <f t="shared" si="14"/>
        <v>4652.49</v>
      </c>
      <c r="F66" s="49">
        <f t="shared" si="14"/>
        <v>4876.2699999999968</v>
      </c>
      <c r="G66" s="172">
        <f t="shared" si="14"/>
        <v>4357.6101256704978</v>
      </c>
      <c r="H66" s="172">
        <f t="shared" si="14"/>
        <v>5448.7965203759795</v>
      </c>
      <c r="I66" s="172">
        <f t="shared" si="14"/>
        <v>6142.7468507207495</v>
      </c>
      <c r="J66" s="172">
        <f t="shared" si="14"/>
        <v>6936.6920868746665</v>
      </c>
      <c r="K66" s="172">
        <f t="shared" si="14"/>
        <v>7826.1576482947721</v>
      </c>
    </row>
    <row r="67" spans="1:11">
      <c r="B67" s="22">
        <f t="shared" ref="B67:K67" si="15">B66/B6</f>
        <v>0.29825586291909434</v>
      </c>
      <c r="C67" s="22">
        <f t="shared" si="15"/>
        <v>0.19308209057094183</v>
      </c>
      <c r="D67" s="196">
        <f t="shared" si="15"/>
        <v>0.21336376408161975</v>
      </c>
      <c r="E67" s="22">
        <f t="shared" si="15"/>
        <v>0.20543724336848035</v>
      </c>
      <c r="F67" s="22">
        <f t="shared" si="15"/>
        <v>0.20112211346354664</v>
      </c>
      <c r="G67" s="150">
        <f t="shared" si="15"/>
        <v>0.17117137994429235</v>
      </c>
      <c r="H67" s="150">
        <f t="shared" si="15"/>
        <v>0.1775088953248585</v>
      </c>
      <c r="I67" s="150">
        <f t="shared" si="15"/>
        <v>0.17854979771739363</v>
      </c>
      <c r="J67" s="150">
        <f t="shared" si="15"/>
        <v>0.17985784081469805</v>
      </c>
      <c r="K67" s="150">
        <f t="shared" si="15"/>
        <v>0.18097225276694656</v>
      </c>
    </row>
    <row r="68" spans="1:11">
      <c r="A68" t="s">
        <v>94</v>
      </c>
      <c r="B68" s="17"/>
      <c r="C68" s="17"/>
      <c r="D68" s="189"/>
      <c r="E68" s="17"/>
      <c r="F68" s="17"/>
      <c r="G68" s="139"/>
      <c r="H68" s="139"/>
      <c r="I68" s="139"/>
      <c r="J68" s="139"/>
      <c r="K68" s="139"/>
    </row>
    <row r="69" spans="1:11">
      <c r="A69" t="s">
        <v>479</v>
      </c>
      <c r="B69" s="17">
        <v>40.46</v>
      </c>
      <c r="C69" s="17">
        <v>7.8</v>
      </c>
      <c r="D69" s="189">
        <v>0</v>
      </c>
      <c r="E69" s="17">
        <v>0</v>
      </c>
      <c r="F69" s="17">
        <v>0</v>
      </c>
      <c r="G69" s="149">
        <f>'Key Indicator'!H301</f>
        <v>134.451851996237</v>
      </c>
      <c r="H69" s="149">
        <f>'Key Indicator'!I301</f>
        <v>95.010273481292629</v>
      </c>
      <c r="I69" s="149">
        <f>'Key Indicator'!J301</f>
        <v>27.971793444913256</v>
      </c>
      <c r="J69" s="149">
        <f>'Key Indicator'!K301</f>
        <v>11.826373321380116</v>
      </c>
      <c r="K69" s="149">
        <f>'Key Indicator'!L301</f>
        <v>3.7725226706528932</v>
      </c>
    </row>
    <row r="70" spans="1:11">
      <c r="A70" t="s">
        <v>473</v>
      </c>
      <c r="B70" s="17">
        <v>7.65</v>
      </c>
      <c r="C70" s="17">
        <v>20.58</v>
      </c>
      <c r="D70" s="189">
        <v>29.52</v>
      </c>
      <c r="E70" s="17">
        <v>92.34</v>
      </c>
      <c r="F70" s="17">
        <v>150.88999999999999</v>
      </c>
      <c r="G70" s="149">
        <f>'Key Indicator'!H302</f>
        <v>78.680485991568204</v>
      </c>
      <c r="H70" s="149">
        <f>'Key Indicator'!I302</f>
        <v>25.468778859594529</v>
      </c>
      <c r="I70" s="149">
        <f>'Key Indicator'!J302</f>
        <v>10.600210697121756</v>
      </c>
      <c r="J70" s="149">
        <f>'Key Indicator'!K302</f>
        <v>3.3751968453437118</v>
      </c>
      <c r="K70" s="149">
        <f>'Key Indicator'!L302</f>
        <v>0</v>
      </c>
    </row>
    <row r="71" spans="1:11">
      <c r="A71" t="s">
        <v>474</v>
      </c>
      <c r="B71" s="17">
        <v>2.48</v>
      </c>
      <c r="C71" s="17">
        <v>4.12</v>
      </c>
      <c r="D71" s="189">
        <v>12.42</v>
      </c>
      <c r="E71" s="17">
        <v>63.89</v>
      </c>
      <c r="F71" s="17">
        <v>88.3</v>
      </c>
      <c r="G71" s="149">
        <f>'Key Indicator'!H303</f>
        <v>21.091360174636691</v>
      </c>
      <c r="H71" s="149">
        <f>'Key Indicator'!I303</f>
        <v>9.6516665133317687</v>
      </c>
      <c r="I71" s="149">
        <f>'Key Indicator'!J303</f>
        <v>3.025255226826276</v>
      </c>
      <c r="J71" s="149">
        <f>'Key Indicator'!K303</f>
        <v>0</v>
      </c>
      <c r="K71" s="149">
        <f>'Key Indicator'!L303</f>
        <v>0</v>
      </c>
    </row>
    <row r="72" spans="1:11">
      <c r="A72" t="s">
        <v>475</v>
      </c>
      <c r="B72" s="17"/>
      <c r="C72" s="17">
        <v>5.38</v>
      </c>
      <c r="D72" s="189">
        <v>11.31</v>
      </c>
      <c r="E72" s="17">
        <v>11.85</v>
      </c>
      <c r="F72" s="17">
        <v>23.67</v>
      </c>
      <c r="G72" s="149">
        <f>'Key Indicator'!H304</f>
        <v>7.9927968215670102</v>
      </c>
      <c r="H72" s="149">
        <f>'Key Indicator'!I304</f>
        <v>2.7545447351314749</v>
      </c>
      <c r="I72" s="149">
        <f>'Key Indicator'!J304</f>
        <v>0</v>
      </c>
      <c r="J72" s="149">
        <f>'Key Indicator'!K304</f>
        <v>0</v>
      </c>
      <c r="K72" s="149">
        <f>'Key Indicator'!L304</f>
        <v>0</v>
      </c>
    </row>
    <row r="73" spans="1:11">
      <c r="A73" t="s">
        <v>406</v>
      </c>
      <c r="B73" s="17">
        <v>20.07</v>
      </c>
      <c r="C73" s="17">
        <v>1.73</v>
      </c>
      <c r="D73" s="189">
        <v>3.47</v>
      </c>
      <c r="E73" s="17">
        <v>9.89</v>
      </c>
      <c r="F73" s="17">
        <v>8.9700000000000006</v>
      </c>
      <c r="G73" s="149">
        <f>'Key Indicator'!H305</f>
        <v>2.2811103526434278</v>
      </c>
      <c r="H73" s="149">
        <f>'Key Indicator'!I305</f>
        <v>0</v>
      </c>
      <c r="I73" s="149">
        <f>'Key Indicator'!J305</f>
        <v>0</v>
      </c>
      <c r="J73" s="149">
        <f>'Key Indicator'!K305</f>
        <v>0</v>
      </c>
      <c r="K73" s="149">
        <f>'Key Indicator'!L305</f>
        <v>0</v>
      </c>
    </row>
    <row r="74" spans="1:11">
      <c r="A74" t="s">
        <v>476</v>
      </c>
      <c r="B74" s="17">
        <v>12.29</v>
      </c>
      <c r="C74" s="17">
        <v>4.32</v>
      </c>
      <c r="D74" s="197" t="s">
        <v>45</v>
      </c>
      <c r="E74" s="17">
        <v>3.33</v>
      </c>
      <c r="F74" s="17">
        <v>2.56</v>
      </c>
      <c r="G74" s="149">
        <v>0</v>
      </c>
      <c r="H74" s="149">
        <v>0</v>
      </c>
      <c r="I74" s="149">
        <v>0</v>
      </c>
      <c r="J74" s="149">
        <v>0</v>
      </c>
      <c r="K74" s="149">
        <v>0</v>
      </c>
    </row>
    <row r="75" spans="1:11">
      <c r="A75" t="s">
        <v>477</v>
      </c>
      <c r="B75" s="17"/>
      <c r="C75" s="17">
        <v>0.32</v>
      </c>
      <c r="D75" s="189">
        <v>32.33</v>
      </c>
      <c r="E75" s="17">
        <v>22.26</v>
      </c>
      <c r="F75" s="17">
        <v>29.77</v>
      </c>
      <c r="G75" s="149">
        <f>'Key Indicator'!H307</f>
        <v>20</v>
      </c>
      <c r="H75" s="149">
        <f>'Key Indicator'!I307</f>
        <v>20</v>
      </c>
      <c r="I75" s="149">
        <f>'Key Indicator'!J307</f>
        <v>20</v>
      </c>
      <c r="J75" s="149">
        <f>'Key Indicator'!K307</f>
        <v>20</v>
      </c>
      <c r="K75" s="149">
        <f>'Key Indicator'!L307</f>
        <v>20</v>
      </c>
    </row>
    <row r="76" spans="1:11">
      <c r="A76" t="s">
        <v>478</v>
      </c>
      <c r="B76" s="17">
        <f>-SUM(B69:B75)</f>
        <v>-82.949999999999989</v>
      </c>
      <c r="C76" s="17">
        <f t="shared" ref="C76:K76" si="16">-SUM(C69:C75)</f>
        <v>-44.25</v>
      </c>
      <c r="D76" s="189">
        <f t="shared" si="16"/>
        <v>-89.05</v>
      </c>
      <c r="E76" s="17">
        <f t="shared" si="16"/>
        <v>-203.56000000000003</v>
      </c>
      <c r="F76" s="17">
        <f t="shared" si="16"/>
        <v>-304.16000000000003</v>
      </c>
      <c r="G76" s="149">
        <f>-SUM(G69:G75)</f>
        <v>-264.49760533665233</v>
      </c>
      <c r="H76" s="149">
        <f t="shared" si="16"/>
        <v>-152.88526358935042</v>
      </c>
      <c r="I76" s="149">
        <f t="shared" si="16"/>
        <v>-61.597259368861287</v>
      </c>
      <c r="J76" s="149">
        <f t="shared" si="16"/>
        <v>-35.201570166723826</v>
      </c>
      <c r="K76" s="149">
        <f t="shared" si="16"/>
        <v>-23.772522670652894</v>
      </c>
    </row>
    <row r="77" spans="1:11">
      <c r="A77" t="s">
        <v>86</v>
      </c>
      <c r="B77" s="17">
        <v>140.49</v>
      </c>
      <c r="C77" s="17">
        <v>99.17</v>
      </c>
      <c r="D77" s="189">
        <v>166.27</v>
      </c>
      <c r="E77" s="17">
        <v>185.46</v>
      </c>
      <c r="F77" s="17">
        <v>202.04</v>
      </c>
      <c r="G77" s="149">
        <f>AVERAGE(B77:F77)</f>
        <v>158.68600000000001</v>
      </c>
      <c r="H77" s="149">
        <f t="shared" ref="H77:K77" si="17">AVERAGE(C77:G77)</f>
        <v>162.3252</v>
      </c>
      <c r="I77" s="149">
        <f t="shared" si="17"/>
        <v>174.95624000000001</v>
      </c>
      <c r="J77" s="149">
        <f t="shared" si="17"/>
        <v>176.693488</v>
      </c>
      <c r="K77" s="149">
        <f t="shared" si="17"/>
        <v>174.94018560000001</v>
      </c>
    </row>
    <row r="78" spans="1:11">
      <c r="A78" t="s">
        <v>96</v>
      </c>
      <c r="B78" s="18">
        <f>B76+B77</f>
        <v>57.54000000000002</v>
      </c>
      <c r="C78" s="18">
        <f t="shared" ref="C78:K78" si="18">C76+C77</f>
        <v>54.92</v>
      </c>
      <c r="D78" s="191">
        <f t="shared" si="18"/>
        <v>77.220000000000013</v>
      </c>
      <c r="E78" s="18">
        <f t="shared" si="18"/>
        <v>-18.100000000000023</v>
      </c>
      <c r="F78" s="18">
        <f t="shared" si="18"/>
        <v>-102.12000000000003</v>
      </c>
      <c r="G78" s="140">
        <f t="shared" si="18"/>
        <v>-105.81160533665232</v>
      </c>
      <c r="H78" s="140">
        <f t="shared" si="18"/>
        <v>9.4399364106495796</v>
      </c>
      <c r="I78" s="140">
        <f t="shared" si="18"/>
        <v>113.35898063113872</v>
      </c>
      <c r="J78" s="140">
        <f t="shared" si="18"/>
        <v>141.49191783327618</v>
      </c>
      <c r="K78" s="140">
        <f t="shared" si="18"/>
        <v>151.1676629293471</v>
      </c>
    </row>
    <row r="79" spans="1:11">
      <c r="B79" s="17"/>
      <c r="C79" s="17"/>
      <c r="D79" s="189"/>
      <c r="E79" s="17"/>
      <c r="F79" s="17"/>
      <c r="G79" s="139"/>
      <c r="H79" s="139"/>
      <c r="I79" s="139"/>
      <c r="J79" s="139"/>
      <c r="K79" s="139"/>
    </row>
    <row r="80" spans="1:11" s="4" customFormat="1">
      <c r="A80" s="4" t="s">
        <v>95</v>
      </c>
      <c r="B80" s="49">
        <f t="shared" ref="B80:K80" si="19">B66-B78</f>
        <v>3837.9499999999989</v>
      </c>
      <c r="C80" s="49">
        <f t="shared" si="19"/>
        <v>3014.4499999999966</v>
      </c>
      <c r="D80" s="5">
        <f t="shared" si="19"/>
        <v>4008.1199999999981</v>
      </c>
      <c r="E80" s="49">
        <f t="shared" si="19"/>
        <v>4670.59</v>
      </c>
      <c r="F80" s="49">
        <f t="shared" si="19"/>
        <v>4978.3899999999967</v>
      </c>
      <c r="G80" s="172">
        <f t="shared" si="19"/>
        <v>4463.4217310071499</v>
      </c>
      <c r="H80" s="172">
        <f t="shared" si="19"/>
        <v>5439.3565839653302</v>
      </c>
      <c r="I80" s="172">
        <f t="shared" si="19"/>
        <v>6029.3878700896112</v>
      </c>
      <c r="J80" s="172">
        <f t="shared" si="19"/>
        <v>6795.2001690413899</v>
      </c>
      <c r="K80" s="172">
        <f t="shared" si="19"/>
        <v>7674.9899853654251</v>
      </c>
    </row>
    <row r="81" spans="1:11" s="1" customFormat="1">
      <c r="B81" s="48">
        <f t="shared" ref="B81:K81" si="20">B80/B6</f>
        <v>0.29385034721956366</v>
      </c>
      <c r="C81" s="48">
        <f t="shared" si="20"/>
        <v>0.18962728765889275</v>
      </c>
      <c r="D81" s="192">
        <f t="shared" si="20"/>
        <v>0.20933081948890958</v>
      </c>
      <c r="E81" s="48">
        <f t="shared" si="20"/>
        <v>0.20623647434049094</v>
      </c>
      <c r="F81" s="48">
        <f t="shared" si="20"/>
        <v>0.20533406034649149</v>
      </c>
      <c r="G81" s="201">
        <f t="shared" si="20"/>
        <v>0.17532776795911245</v>
      </c>
      <c r="H81" s="201">
        <f t="shared" si="20"/>
        <v>0.17720136453747728</v>
      </c>
      <c r="I81" s="201">
        <f t="shared" si="20"/>
        <v>0.17525481852436944</v>
      </c>
      <c r="J81" s="201">
        <f t="shared" si="20"/>
        <v>0.17618917129390785</v>
      </c>
      <c r="K81" s="201">
        <f t="shared" si="20"/>
        <v>0.17747664818865147</v>
      </c>
    </row>
    <row r="82" spans="1:11">
      <c r="B82" s="17"/>
      <c r="C82" s="17"/>
      <c r="D82" s="189"/>
      <c r="E82" s="17"/>
      <c r="F82" s="17"/>
      <c r="G82" s="139"/>
      <c r="H82" s="139"/>
      <c r="I82" s="139"/>
      <c r="J82" s="139"/>
      <c r="K82" s="139"/>
    </row>
    <row r="83" spans="1:11">
      <c r="A83" t="s">
        <v>97</v>
      </c>
      <c r="B83" s="17">
        <v>589.24</v>
      </c>
      <c r="C83" s="17">
        <v>774.07</v>
      </c>
      <c r="D83" s="191">
        <v>1037.81</v>
      </c>
      <c r="E83" s="18">
        <v>1199.18</v>
      </c>
      <c r="F83" s="18">
        <v>1253.82</v>
      </c>
      <c r="G83" s="149">
        <f>G80*0.25</f>
        <v>1115.8554327517875</v>
      </c>
      <c r="H83" s="149">
        <f>H80*0.25</f>
        <v>1359.8391459913325</v>
      </c>
      <c r="I83" s="149">
        <f>I80*0.25</f>
        <v>1507.3469675224028</v>
      </c>
      <c r="J83" s="149">
        <f>J80*0.25</f>
        <v>1698.8000422603475</v>
      </c>
      <c r="K83" s="149">
        <f>K80*0.25</f>
        <v>1918.7474963413563</v>
      </c>
    </row>
    <row r="84" spans="1:11">
      <c r="B84" s="48">
        <f>B83/B80</f>
        <v>0.15352987923240277</v>
      </c>
      <c r="C84" s="48">
        <f>C83/C80</f>
        <v>0.25678647846207464</v>
      </c>
      <c r="D84" s="192">
        <f>D83/D80</f>
        <v>0.25892687843677348</v>
      </c>
      <c r="E84" s="48">
        <f>E83/E80</f>
        <v>0.25675128838112532</v>
      </c>
      <c r="F84" s="48">
        <f>F83/F80</f>
        <v>0.25185250653323682</v>
      </c>
      <c r="G84" s="201">
        <f t="shared" ref="G84:K84" si="21">G83/G80</f>
        <v>0.25</v>
      </c>
      <c r="H84" s="201">
        <f t="shared" si="21"/>
        <v>0.25</v>
      </c>
      <c r="I84" s="201">
        <f t="shared" si="21"/>
        <v>0.25</v>
      </c>
      <c r="J84" s="201">
        <f t="shared" si="21"/>
        <v>0.25</v>
      </c>
      <c r="K84" s="201">
        <f t="shared" si="21"/>
        <v>0.25</v>
      </c>
    </row>
    <row r="85" spans="1:11" s="4" customFormat="1" ht="15.75" thickBot="1">
      <c r="A85" s="205" t="s">
        <v>98</v>
      </c>
      <c r="B85" s="206">
        <f t="shared" ref="B85:K85" si="22">B80-B83</f>
        <v>3248.7099999999991</v>
      </c>
      <c r="C85" s="206">
        <f t="shared" si="22"/>
        <v>2240.3799999999965</v>
      </c>
      <c r="D85" s="207">
        <f t="shared" si="22"/>
        <v>2970.3099999999981</v>
      </c>
      <c r="E85" s="206">
        <f t="shared" si="22"/>
        <v>3471.41</v>
      </c>
      <c r="F85" s="206">
        <f t="shared" si="22"/>
        <v>3724.569999999997</v>
      </c>
      <c r="G85" s="208">
        <f t="shared" si="22"/>
        <v>3347.5662982553622</v>
      </c>
      <c r="H85" s="208">
        <f t="shared" si="22"/>
        <v>4079.5174379739974</v>
      </c>
      <c r="I85" s="208">
        <f t="shared" si="22"/>
        <v>4522.0409025672088</v>
      </c>
      <c r="J85" s="208">
        <f t="shared" si="22"/>
        <v>5096.4001267810427</v>
      </c>
      <c r="K85" s="208">
        <f t="shared" si="22"/>
        <v>5756.2424890240691</v>
      </c>
    </row>
    <row r="86" spans="1:11" s="9" customFormat="1">
      <c r="B86" s="186">
        <f t="shared" ref="B86:K86" si="23">B85/B6</f>
        <v>0.24873553889854444</v>
      </c>
      <c r="C86" s="186">
        <f t="shared" si="23"/>
        <v>0.14093356424065084</v>
      </c>
      <c r="D86" s="198">
        <f t="shared" si="23"/>
        <v>0.15512944383803451</v>
      </c>
      <c r="E86" s="186">
        <f t="shared" si="23"/>
        <v>0.153284993842389</v>
      </c>
      <c r="F86" s="186">
        <f t="shared" si="23"/>
        <v>0.1536201625715807</v>
      </c>
      <c r="G86" s="202">
        <f t="shared" si="23"/>
        <v>0.13149582596933435</v>
      </c>
      <c r="H86" s="202">
        <f t="shared" si="23"/>
        <v>0.13290102340310794</v>
      </c>
      <c r="I86" s="202">
        <f t="shared" si="23"/>
        <v>0.13144111389327709</v>
      </c>
      <c r="J86" s="202">
        <f t="shared" si="23"/>
        <v>0.13214187847043088</v>
      </c>
      <c r="K86" s="202">
        <f t="shared" si="23"/>
        <v>0.13310748614148862</v>
      </c>
    </row>
    <row r="87" spans="1:11">
      <c r="B87" s="17"/>
      <c r="C87" s="17"/>
      <c r="D87" s="189"/>
      <c r="E87" s="17"/>
      <c r="F87" s="17"/>
      <c r="G87" s="139"/>
      <c r="H87" s="139"/>
      <c r="I87" s="139"/>
      <c r="J87" s="139"/>
      <c r="K87" s="139"/>
    </row>
    <row r="88" spans="1:11">
      <c r="A88" t="s">
        <v>418</v>
      </c>
      <c r="B88" s="17">
        <f>'Key Indicator'!C247</f>
        <v>362.6</v>
      </c>
      <c r="C88" s="17">
        <f>'Key Indicator'!D247</f>
        <v>226.44</v>
      </c>
      <c r="D88" s="189">
        <f>'Key Indicator'!E247</f>
        <v>154.06</v>
      </c>
      <c r="E88" s="17">
        <f>'Key Indicator'!F247</f>
        <v>1135.1500000000001</v>
      </c>
      <c r="F88" s="17">
        <f>'Key Indicator'!G247</f>
        <v>1063.1600000000001</v>
      </c>
      <c r="G88" s="149">
        <f>G85*0.35</f>
        <v>1171.6482043893766</v>
      </c>
      <c r="H88" s="149">
        <f t="shared" ref="H88:K88" si="24">H85*0.3</f>
        <v>1223.8552313921991</v>
      </c>
      <c r="I88" s="149">
        <f t="shared" si="24"/>
        <v>1356.6122707701627</v>
      </c>
      <c r="J88" s="149">
        <f t="shared" si="24"/>
        <v>1528.9200380343127</v>
      </c>
      <c r="K88" s="149">
        <f t="shared" si="24"/>
        <v>1726.8727467072206</v>
      </c>
    </row>
    <row r="89" spans="1:11">
      <c r="A89" t="s">
        <v>419</v>
      </c>
      <c r="B89" s="187">
        <v>148000000</v>
      </c>
      <c r="C89" s="188">
        <v>148706864</v>
      </c>
      <c r="D89" s="199">
        <v>153893100</v>
      </c>
      <c r="E89" s="188">
        <v>156263816</v>
      </c>
      <c r="F89" s="188">
        <v>163463078</v>
      </c>
      <c r="G89" s="204">
        <v>163463078</v>
      </c>
      <c r="H89" s="204">
        <v>163463078</v>
      </c>
      <c r="I89" s="204">
        <v>163463078</v>
      </c>
      <c r="J89" s="204">
        <v>163463078</v>
      </c>
      <c r="K89" s="204">
        <v>163463078</v>
      </c>
    </row>
    <row r="90" spans="1:11">
      <c r="B90" s="17"/>
      <c r="C90" s="17"/>
      <c r="D90" s="189"/>
      <c r="E90" s="17"/>
      <c r="F90" s="17"/>
      <c r="G90" s="139"/>
      <c r="H90" s="139"/>
      <c r="I90" s="139"/>
      <c r="J90" s="139"/>
      <c r="K90" s="139"/>
    </row>
    <row r="91" spans="1:11">
      <c r="A91" t="s">
        <v>459</v>
      </c>
      <c r="B91" s="46">
        <f>B85-B88</f>
        <v>2886.1099999999992</v>
      </c>
      <c r="C91" s="46">
        <f t="shared" ref="C91:K91" si="25">C85-C88</f>
        <v>2013.9399999999964</v>
      </c>
      <c r="D91" s="193">
        <f t="shared" si="25"/>
        <v>2816.2499999999982</v>
      </c>
      <c r="E91" s="46">
        <f t="shared" si="25"/>
        <v>2336.2599999999998</v>
      </c>
      <c r="F91" s="46">
        <f t="shared" si="25"/>
        <v>2661.4099999999971</v>
      </c>
      <c r="G91" s="149">
        <f t="shared" si="25"/>
        <v>2175.9180938659856</v>
      </c>
      <c r="H91" s="149">
        <f t="shared" si="25"/>
        <v>2855.6622065817983</v>
      </c>
      <c r="I91" s="149">
        <f t="shared" si="25"/>
        <v>3165.4286317970464</v>
      </c>
      <c r="J91" s="149">
        <f t="shared" si="25"/>
        <v>3567.48008874673</v>
      </c>
      <c r="K91" s="149">
        <f t="shared" si="25"/>
        <v>4029.3697423168487</v>
      </c>
    </row>
    <row r="94" spans="1:11">
      <c r="F94" s="24"/>
      <c r="G94" s="24"/>
      <c r="H94" s="24"/>
      <c r="I94" s="24"/>
      <c r="J94" s="24"/>
    </row>
    <row r="96" spans="1:11">
      <c r="G96" s="24"/>
    </row>
    <row r="97" spans="3:6">
      <c r="C97" s="24"/>
      <c r="F97" s="24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B17C-3AC5-4EAD-86C0-584FB8C0F0B1}">
  <dimension ref="A1:Q67"/>
  <sheetViews>
    <sheetView showGridLines="0" zoomScale="80" zoomScaleNormal="80" workbookViewId="0">
      <pane xSplit="1" ySplit="2" topLeftCell="B49" activePane="bottomRight" state="frozen"/>
      <selection pane="topRight" activeCell="B1" sqref="B1"/>
      <selection pane="bottomLeft" activeCell="A3" sqref="A3"/>
      <selection pane="bottomRight" activeCell="B72" sqref="B72"/>
    </sheetView>
  </sheetViews>
  <sheetFormatPr defaultRowHeight="15"/>
  <cols>
    <col min="1" max="1" width="70" style="89" bestFit="1" customWidth="1"/>
    <col min="2" max="3" width="9.42578125" style="101" bestFit="1" customWidth="1"/>
    <col min="4" max="6" width="10.5703125" style="101" bestFit="1" customWidth="1"/>
    <col min="7" max="7" width="13.7109375" style="101" bestFit="1" customWidth="1"/>
    <col min="8" max="8" width="12.7109375" style="89" bestFit="1" customWidth="1"/>
    <col min="9" max="9" width="12.7109375" style="101" bestFit="1" customWidth="1"/>
    <col min="10" max="10" width="13.7109375" style="101" bestFit="1" customWidth="1"/>
    <col min="11" max="11" width="12.7109375" style="101" customWidth="1"/>
    <col min="12" max="16384" width="9.140625" style="89"/>
  </cols>
  <sheetData>
    <row r="1" spans="1:11">
      <c r="G1" s="139"/>
      <c r="H1" s="155"/>
      <c r="I1" s="139"/>
      <c r="J1" s="139"/>
      <c r="K1" s="139"/>
    </row>
    <row r="2" spans="1:11" s="87" customFormat="1">
      <c r="A2" s="161" t="s">
        <v>0</v>
      </c>
      <c r="B2" s="176">
        <v>2021</v>
      </c>
      <c r="C2" s="176">
        <f>B2+1</f>
        <v>2022</v>
      </c>
      <c r="D2" s="176">
        <f t="shared" ref="D2:K2" si="0">C2+1</f>
        <v>2023</v>
      </c>
      <c r="E2" s="176">
        <f t="shared" si="0"/>
        <v>2024</v>
      </c>
      <c r="F2" s="176">
        <f t="shared" si="0"/>
        <v>2025</v>
      </c>
      <c r="G2" s="169">
        <f t="shared" si="0"/>
        <v>2026</v>
      </c>
      <c r="H2" s="162">
        <f t="shared" si="0"/>
        <v>2027</v>
      </c>
      <c r="I2" s="169">
        <f t="shared" si="0"/>
        <v>2028</v>
      </c>
      <c r="J2" s="169">
        <f t="shared" si="0"/>
        <v>2029</v>
      </c>
      <c r="K2" s="169">
        <f t="shared" si="0"/>
        <v>2030</v>
      </c>
    </row>
    <row r="3" spans="1:11">
      <c r="A3" s="89" t="s">
        <v>362</v>
      </c>
      <c r="G3" s="139"/>
      <c r="H3" s="155"/>
      <c r="I3" s="139"/>
      <c r="J3" s="139"/>
      <c r="K3" s="139"/>
    </row>
    <row r="4" spans="1:11">
      <c r="A4" s="89" t="s">
        <v>363</v>
      </c>
      <c r="B4" s="104">
        <v>2377.5</v>
      </c>
      <c r="C4" s="104">
        <v>3014.45</v>
      </c>
      <c r="D4" s="104">
        <v>4010.17</v>
      </c>
      <c r="E4" s="104">
        <v>4670.59</v>
      </c>
      <c r="F4" s="104">
        <v>4978.3900000000003</v>
      </c>
      <c r="G4" s="140">
        <f>'Income Statement '!G66</f>
        <v>4357.6101256704978</v>
      </c>
      <c r="H4" s="164">
        <f>'Income Statement '!H66</f>
        <v>5448.7965203759795</v>
      </c>
      <c r="I4" s="140">
        <f>'Income Statement '!I66</f>
        <v>6142.7468507207495</v>
      </c>
      <c r="J4" s="140">
        <f>'Income Statement '!J66</f>
        <v>6936.6920868746665</v>
      </c>
      <c r="K4" s="140">
        <f>'Income Statement '!K66</f>
        <v>7826.1576482947721</v>
      </c>
    </row>
    <row r="5" spans="1:11">
      <c r="B5" s="104"/>
      <c r="C5" s="104"/>
      <c r="D5" s="104"/>
      <c r="E5" s="104"/>
      <c r="F5" s="104"/>
      <c r="G5" s="140"/>
      <c r="H5" s="164"/>
      <c r="I5" s="140"/>
      <c r="J5" s="140"/>
      <c r="K5" s="140"/>
    </row>
    <row r="6" spans="1:11">
      <c r="A6" s="165" t="s">
        <v>364</v>
      </c>
      <c r="G6" s="139"/>
      <c r="H6" s="155"/>
      <c r="I6" s="139"/>
      <c r="J6" s="139"/>
      <c r="K6" s="139"/>
    </row>
    <row r="7" spans="1:11">
      <c r="A7" s="89" t="s">
        <v>376</v>
      </c>
      <c r="B7" s="101">
        <v>412.97</v>
      </c>
      <c r="C7" s="101">
        <v>580.54999999999995</v>
      </c>
      <c r="D7" s="101">
        <v>899.07</v>
      </c>
      <c r="E7" s="104">
        <v>1070</v>
      </c>
      <c r="F7" s="104">
        <v>1150.5</v>
      </c>
      <c r="G7" s="149">
        <f>Notes!G33+Notes!G13</f>
        <v>1124.3993250000003</v>
      </c>
      <c r="H7" s="153">
        <f>Notes!H33+Notes!H13</f>
        <v>1258.0598850000003</v>
      </c>
      <c r="I7" s="149">
        <f>Notes!I33+Notes!I13</f>
        <v>1400.6562720000004</v>
      </c>
      <c r="J7" s="149">
        <f>Notes!J33+Notes!J13</f>
        <v>1561.5702864000002</v>
      </c>
      <c r="K7" s="149">
        <f>Notes!K33+Notes!K13</f>
        <v>1743.1497636800004</v>
      </c>
    </row>
    <row r="8" spans="1:11">
      <c r="A8" s="89" t="s">
        <v>365</v>
      </c>
      <c r="B8" s="101">
        <v>221.58</v>
      </c>
      <c r="C8" s="101">
        <v>337.88</v>
      </c>
      <c r="D8" s="101">
        <v>419.11</v>
      </c>
      <c r="E8" s="101">
        <v>432.16</v>
      </c>
      <c r="F8" s="101">
        <v>463.82</v>
      </c>
      <c r="G8" s="170">
        <f>Notes!G53</f>
        <v>554.40713546670213</v>
      </c>
      <c r="H8" s="166">
        <f>Notes!H53</f>
        <v>596.34444462402018</v>
      </c>
      <c r="I8" s="170">
        <f>Notes!I53</f>
        <v>645.64866009925174</v>
      </c>
      <c r="J8" s="170">
        <f>Notes!J53</f>
        <v>693.50254254473509</v>
      </c>
      <c r="K8" s="170">
        <f>Notes!K53</f>
        <v>744.56743738200805</v>
      </c>
    </row>
    <row r="9" spans="1:11">
      <c r="A9" s="89" t="s">
        <v>366</v>
      </c>
      <c r="B9" s="101">
        <v>-3.32</v>
      </c>
      <c r="C9" s="101">
        <v>-1.04</v>
      </c>
      <c r="D9" s="101">
        <v>-0.78</v>
      </c>
      <c r="E9" s="101">
        <v>-0.21</v>
      </c>
      <c r="F9" s="101">
        <v>-0.68</v>
      </c>
      <c r="G9" s="171" t="s">
        <v>45</v>
      </c>
      <c r="H9" s="167" t="s">
        <v>45</v>
      </c>
      <c r="I9" s="171" t="s">
        <v>45</v>
      </c>
      <c r="J9" s="171" t="s">
        <v>45</v>
      </c>
      <c r="K9" s="171" t="s">
        <v>45</v>
      </c>
    </row>
    <row r="10" spans="1:11">
      <c r="A10" s="89" t="s">
        <v>367</v>
      </c>
      <c r="B10" s="101">
        <v>-20.07</v>
      </c>
      <c r="C10" s="101">
        <v>-1.73</v>
      </c>
      <c r="G10" s="171" t="s">
        <v>45</v>
      </c>
      <c r="H10" s="167" t="s">
        <v>45</v>
      </c>
      <c r="I10" s="171" t="s">
        <v>45</v>
      </c>
      <c r="J10" s="171" t="s">
        <v>45</v>
      </c>
      <c r="K10" s="171" t="s">
        <v>45</v>
      </c>
    </row>
    <row r="11" spans="1:11">
      <c r="A11" s="89" t="s">
        <v>379</v>
      </c>
      <c r="B11" s="101">
        <v>206</v>
      </c>
      <c r="C11" s="101">
        <v>595.13</v>
      </c>
      <c r="D11" s="101">
        <v>984.91</v>
      </c>
      <c r="E11" s="101">
        <v>906.94</v>
      </c>
      <c r="F11" s="101">
        <v>366.3</v>
      </c>
      <c r="G11" s="149">
        <f>SUM('Income Statement '!G31:G33)</f>
        <v>345.89093022968575</v>
      </c>
      <c r="H11" s="153">
        <f>SUM('Income Statement '!H31:H33)</f>
        <v>417.06373036459763</v>
      </c>
      <c r="I11" s="149">
        <f>SUM('Income Statement '!I31:I33)</f>
        <v>467.43928628169976</v>
      </c>
      <c r="J11" s="149">
        <f>SUM('Income Statement '!J31:J33)</f>
        <v>524.01654135733645</v>
      </c>
      <c r="K11" s="149">
        <f>SUM('Income Statement '!K31:K33)</f>
        <v>587.56856666817816</v>
      </c>
    </row>
    <row r="12" spans="1:11">
      <c r="A12" s="89" t="s">
        <v>48</v>
      </c>
      <c r="B12" s="177" t="s">
        <v>45</v>
      </c>
      <c r="C12" s="177" t="s">
        <v>45</v>
      </c>
      <c r="D12" s="177" t="s">
        <v>45</v>
      </c>
      <c r="E12" s="177" t="s">
        <v>45</v>
      </c>
      <c r="F12" s="101">
        <v>523.79</v>
      </c>
      <c r="G12" s="149">
        <f>'Income Statement '!G22+'Income Statement '!G23</f>
        <v>0</v>
      </c>
      <c r="H12" s="153">
        <f>'Income Statement '!H22+'Income Statement '!H23</f>
        <v>0</v>
      </c>
      <c r="I12" s="149">
        <f>'Income Statement '!I22+'Income Statement '!I23</f>
        <v>0</v>
      </c>
      <c r="J12" s="149">
        <f>'Income Statement '!J22+'Income Statement '!J23</f>
        <v>0</v>
      </c>
      <c r="K12" s="149">
        <f>'Income Statement '!K22+'Income Statement '!K23</f>
        <v>0</v>
      </c>
    </row>
    <row r="13" spans="1:11">
      <c r="A13" s="89" t="s">
        <v>368</v>
      </c>
      <c r="B13" s="101">
        <v>222.78</v>
      </c>
      <c r="C13" s="101">
        <v>204.41</v>
      </c>
      <c r="D13" s="177" t="s">
        <v>45</v>
      </c>
      <c r="E13" s="177" t="s">
        <v>45</v>
      </c>
      <c r="F13" s="177" t="s">
        <v>45</v>
      </c>
      <c r="G13" s="171" t="s">
        <v>45</v>
      </c>
      <c r="H13" s="167" t="s">
        <v>45</v>
      </c>
      <c r="I13" s="171" t="s">
        <v>45</v>
      </c>
      <c r="J13" s="171" t="s">
        <v>45</v>
      </c>
      <c r="K13" s="171" t="s">
        <v>45</v>
      </c>
    </row>
    <row r="14" spans="1:11">
      <c r="A14" s="89" t="s">
        <v>369</v>
      </c>
      <c r="B14" s="101">
        <v>1.08</v>
      </c>
      <c r="C14" s="101">
        <v>21.46</v>
      </c>
      <c r="D14" s="177" t="s">
        <v>45</v>
      </c>
      <c r="E14" s="177" t="s">
        <v>45</v>
      </c>
      <c r="F14" s="177" t="s">
        <v>45</v>
      </c>
      <c r="G14" s="170">
        <f>'Income Statement '!G37</f>
        <v>0</v>
      </c>
      <c r="H14" s="166">
        <f>'Income Statement '!H37</f>
        <v>0</v>
      </c>
      <c r="I14" s="170">
        <f>'Income Statement '!I37</f>
        <v>0</v>
      </c>
      <c r="J14" s="170">
        <f>'Income Statement '!J37</f>
        <v>0</v>
      </c>
      <c r="K14" s="170">
        <f>'Income Statement '!K37</f>
        <v>0</v>
      </c>
    </row>
    <row r="15" spans="1:11">
      <c r="A15" s="89" t="s">
        <v>377</v>
      </c>
      <c r="B15" s="101">
        <v>-1.4</v>
      </c>
      <c r="C15" s="101">
        <v>-5.38</v>
      </c>
      <c r="D15" s="101">
        <v>-11.31</v>
      </c>
      <c r="E15" s="101">
        <v>-11.85</v>
      </c>
      <c r="F15" s="101">
        <v>-23.67</v>
      </c>
      <c r="G15" s="170">
        <f>-'Income Statement '!G72</f>
        <v>-7.9927968215670102</v>
      </c>
      <c r="H15" s="166">
        <f>-'Income Statement '!H72</f>
        <v>-2.7545447351314749</v>
      </c>
      <c r="I15" s="170">
        <f>-'Income Statement '!I72</f>
        <v>0</v>
      </c>
      <c r="J15" s="170">
        <f>-'Income Statement '!J72</f>
        <v>0</v>
      </c>
      <c r="K15" s="170">
        <f>-'Income Statement '!K72</f>
        <v>0</v>
      </c>
    </row>
    <row r="16" spans="1:11">
      <c r="A16" s="89" t="s">
        <v>370</v>
      </c>
      <c r="B16" s="101">
        <v>-52.76</v>
      </c>
      <c r="C16" s="101">
        <v>-7.8</v>
      </c>
      <c r="D16" s="101">
        <v>-20.11</v>
      </c>
      <c r="E16" s="101">
        <v>-21.97</v>
      </c>
      <c r="F16" s="101">
        <v>-29.77</v>
      </c>
      <c r="G16" s="170">
        <f>-'Income Statement '!G69</f>
        <v>-134.451851996237</v>
      </c>
      <c r="H16" s="166">
        <f>-'Income Statement '!H69</f>
        <v>-95.010273481292629</v>
      </c>
      <c r="I16" s="170">
        <f>-'Income Statement '!I69</f>
        <v>-27.971793444913256</v>
      </c>
      <c r="J16" s="170">
        <f>-'Income Statement '!J69</f>
        <v>-11.826373321380116</v>
      </c>
      <c r="K16" s="170">
        <f>-'Income Statement '!K69</f>
        <v>-3.7725226706528932</v>
      </c>
    </row>
    <row r="17" spans="1:17">
      <c r="A17" s="89" t="s">
        <v>371</v>
      </c>
      <c r="B17" s="101" t="s">
        <v>45</v>
      </c>
      <c r="C17" s="101">
        <v>7.78</v>
      </c>
      <c r="D17" s="101">
        <v>3.7</v>
      </c>
      <c r="E17" s="101" t="s">
        <v>45</v>
      </c>
      <c r="F17" s="101">
        <v>35</v>
      </c>
      <c r="G17" s="170">
        <f>'Income Statement '!G36</f>
        <v>33.050813721474789</v>
      </c>
      <c r="H17" s="166">
        <f>'Income Statement '!H36</f>
        <v>39.851567235690077</v>
      </c>
      <c r="I17" s="170">
        <f>'Income Statement '!I36</f>
        <v>44.665087826201898</v>
      </c>
      <c r="J17" s="170">
        <f>'Income Statement '!J36</f>
        <v>50.071197541583928</v>
      </c>
      <c r="K17" s="170">
        <f>'Income Statement '!K36</f>
        <v>56.143765413705637</v>
      </c>
    </row>
    <row r="18" spans="1:17">
      <c r="A18" s="89" t="s">
        <v>372</v>
      </c>
      <c r="B18" s="101">
        <v>0.79</v>
      </c>
      <c r="C18" s="101">
        <v>13.96</v>
      </c>
      <c r="D18" s="101">
        <v>11.87</v>
      </c>
      <c r="E18" s="101">
        <v>16.510000000000002</v>
      </c>
      <c r="F18" s="101">
        <v>7.32</v>
      </c>
      <c r="G18" s="170">
        <f>'Income Statement '!G34</f>
        <v>6.9123416126055854</v>
      </c>
      <c r="H18" s="166">
        <f>'Income Statement '!H34</f>
        <v>8.3346706332928964</v>
      </c>
      <c r="I18" s="170">
        <f>'Income Statement '!I34</f>
        <v>9.3413840825085117</v>
      </c>
      <c r="J18" s="170">
        <f>'Income Statement '!J34</f>
        <v>10.472033314411268</v>
      </c>
      <c r="K18" s="170">
        <f>'Income Statement '!K34</f>
        <v>11.742067509380723</v>
      </c>
    </row>
    <row r="19" spans="1:17">
      <c r="A19" s="89" t="s">
        <v>406</v>
      </c>
      <c r="D19" s="101">
        <v>-3.47</v>
      </c>
      <c r="E19" s="101">
        <v>-9.89</v>
      </c>
      <c r="F19" s="101">
        <v>-8.9700000000000006</v>
      </c>
      <c r="G19" s="170">
        <f>-'Income Statement '!G73</f>
        <v>-2.2811103526434278</v>
      </c>
      <c r="H19" s="166">
        <f>-'Income Statement '!H73</f>
        <v>0</v>
      </c>
      <c r="I19" s="170">
        <f>-'Income Statement '!I73</f>
        <v>0</v>
      </c>
      <c r="J19" s="170">
        <f>-'Income Statement '!J73</f>
        <v>0</v>
      </c>
      <c r="K19" s="170">
        <f>-'Income Statement '!K73</f>
        <v>0</v>
      </c>
    </row>
    <row r="20" spans="1:17">
      <c r="A20" s="89" t="s">
        <v>49</v>
      </c>
      <c r="B20" s="101">
        <v>-53.06</v>
      </c>
      <c r="C20" s="101">
        <v>-33.130000000000003</v>
      </c>
      <c r="D20" s="101">
        <v>-69.59</v>
      </c>
      <c r="E20" s="101">
        <v>-136.59</v>
      </c>
      <c r="F20" s="101">
        <v>-202.66</v>
      </c>
      <c r="G20" s="171">
        <f>'Income Statement '!G62</f>
        <v>-100</v>
      </c>
      <c r="H20" s="167">
        <f>'Income Statement '!H62</f>
        <v>-100</v>
      </c>
      <c r="I20" s="171">
        <f>'Income Statement '!I62</f>
        <v>-100</v>
      </c>
      <c r="J20" s="171">
        <f>'Income Statement '!J62</f>
        <v>-100</v>
      </c>
      <c r="K20" s="171">
        <f>'Income Statement '!K62</f>
        <v>-100</v>
      </c>
    </row>
    <row r="21" spans="1:17">
      <c r="A21" s="89" t="s">
        <v>373</v>
      </c>
      <c r="B21" s="101">
        <v>-7.65</v>
      </c>
      <c r="C21" s="101">
        <v>-20.58</v>
      </c>
      <c r="D21" s="101">
        <v>-29.52</v>
      </c>
      <c r="E21" s="101">
        <v>-92.34</v>
      </c>
      <c r="F21" s="101">
        <v>-150.88999999999999</v>
      </c>
      <c r="G21" s="170">
        <f>-'Income Statement '!G70</f>
        <v>-78.680485991568204</v>
      </c>
      <c r="H21" s="166">
        <f>-'Income Statement '!H70</f>
        <v>-25.468778859594529</v>
      </c>
      <c r="I21" s="170">
        <f>-'Income Statement '!I70</f>
        <v>-10.600210697121756</v>
      </c>
      <c r="J21" s="170">
        <f>-'Income Statement '!J70</f>
        <v>-3.3751968453437118</v>
      </c>
      <c r="K21" s="170">
        <f>-'Income Statement '!K70</f>
        <v>0</v>
      </c>
    </row>
    <row r="22" spans="1:17">
      <c r="A22" s="89" t="s">
        <v>378</v>
      </c>
      <c r="B22" s="101">
        <v>-3.91</v>
      </c>
      <c r="C22" s="101">
        <v>-4.12</v>
      </c>
      <c r="D22" s="101">
        <v>-12.42</v>
      </c>
      <c r="E22" s="101">
        <v>-63.89</v>
      </c>
      <c r="F22" s="101">
        <v>-88.3</v>
      </c>
      <c r="G22" s="170">
        <f>-'Income Statement '!G71</f>
        <v>-21.091360174636691</v>
      </c>
      <c r="H22" s="166">
        <f>-'Income Statement '!H71</f>
        <v>-9.6516665133317687</v>
      </c>
      <c r="I22" s="170">
        <f>-'Income Statement '!I71</f>
        <v>-3.025255226826276</v>
      </c>
      <c r="J22" s="170">
        <f>-'Income Statement '!J71</f>
        <v>0</v>
      </c>
      <c r="K22" s="170">
        <f>-'Income Statement '!K71</f>
        <v>0</v>
      </c>
    </row>
    <row r="23" spans="1:17">
      <c r="A23" s="89" t="s">
        <v>374</v>
      </c>
      <c r="B23" s="101">
        <v>19.61</v>
      </c>
      <c r="C23" s="101">
        <v>61.19</v>
      </c>
      <c r="D23" s="101">
        <v>92.8</v>
      </c>
      <c r="E23" s="101">
        <v>365.55</v>
      </c>
      <c r="F23" s="101">
        <v>307.45</v>
      </c>
      <c r="G23" s="170">
        <f>0.23*'Income Statement '!G50</f>
        <v>748.28836452449525</v>
      </c>
      <c r="H23" s="166">
        <f>0.23*'Income Statement '!H50</f>
        <v>902.26111592395125</v>
      </c>
      <c r="I23" s="170">
        <f>0.23*'Income Statement '!I50</f>
        <v>1011.2418351471739</v>
      </c>
      <c r="J23" s="170">
        <f>0.23*'Income Statement '!J50</f>
        <v>1133.639093848697</v>
      </c>
      <c r="K23" s="170">
        <f>0.23*'Income Statement '!K50</f>
        <v>1271.1253270103773</v>
      </c>
    </row>
    <row r="24" spans="1:17">
      <c r="A24" s="89" t="s">
        <v>50</v>
      </c>
      <c r="B24" s="101">
        <v>82.32</v>
      </c>
      <c r="C24" s="101">
        <v>143.9</v>
      </c>
      <c r="D24" s="101">
        <v>196.15</v>
      </c>
      <c r="E24" s="101">
        <v>162.1</v>
      </c>
      <c r="F24" s="101">
        <v>181.97</v>
      </c>
      <c r="G24" s="149">
        <f>'Income Statement '!G63</f>
        <v>173.40405386279946</v>
      </c>
      <c r="H24" s="153">
        <f>'Income Statement '!H63</f>
        <v>163.8168</v>
      </c>
      <c r="I24" s="149">
        <f>'Income Statement '!I63</f>
        <v>167.80015999999995</v>
      </c>
      <c r="J24" s="149">
        <f>'Income Statement '!J63</f>
        <v>164.46819199999999</v>
      </c>
      <c r="K24" s="149">
        <f>'Income Statement '!K63</f>
        <v>164.94183039999996</v>
      </c>
    </row>
    <row r="25" spans="1:17">
      <c r="A25" s="89" t="s">
        <v>375</v>
      </c>
      <c r="B25" s="104">
        <f t="shared" ref="B25:K25" si="1">SUM(B4:B24)</f>
        <v>3402.46</v>
      </c>
      <c r="C25" s="104">
        <f t="shared" si="1"/>
        <v>4906.9299999999985</v>
      </c>
      <c r="D25" s="104">
        <f t="shared" si="1"/>
        <v>6470.5799999999981</v>
      </c>
      <c r="E25" s="104">
        <f t="shared" si="1"/>
        <v>7287.1099999999988</v>
      </c>
      <c r="F25" s="104">
        <f t="shared" si="1"/>
        <v>7509.5999999999985</v>
      </c>
      <c r="G25" s="140">
        <f>SUM(G4:G24)</f>
        <v>6999.4654847516094</v>
      </c>
      <c r="H25" s="164">
        <f t="shared" si="1"/>
        <v>8601.6434705681804</v>
      </c>
      <c r="I25" s="140">
        <f t="shared" si="1"/>
        <v>9747.9422767887263</v>
      </c>
      <c r="J25" s="140">
        <f t="shared" si="1"/>
        <v>10959.230403714704</v>
      </c>
      <c r="K25" s="140">
        <f t="shared" si="1"/>
        <v>12301.623883687767</v>
      </c>
    </row>
    <row r="26" spans="1:17">
      <c r="G26" s="139"/>
      <c r="H26" s="155"/>
      <c r="I26" s="139"/>
      <c r="J26" s="139"/>
      <c r="K26" s="139"/>
    </row>
    <row r="27" spans="1:17">
      <c r="A27" s="87" t="s">
        <v>380</v>
      </c>
      <c r="G27" s="139"/>
      <c r="H27" s="155"/>
      <c r="I27" s="139"/>
      <c r="J27" s="139"/>
      <c r="K27" s="139"/>
    </row>
    <row r="28" spans="1:17">
      <c r="A28" s="89" t="s">
        <v>381</v>
      </c>
      <c r="B28" s="101">
        <v>282.54000000000002</v>
      </c>
      <c r="C28" s="101">
        <v>-421.03</v>
      </c>
      <c r="D28" s="101">
        <v>-824.02</v>
      </c>
      <c r="E28" s="104">
        <v>1991.4</v>
      </c>
      <c r="F28" s="104">
        <v>-391.05</v>
      </c>
      <c r="G28" s="149">
        <f>('Balance Sheet'!H50+'Balance Sheet'!H51)-('Balance Sheet'!G50+'Balance Sheet'!G51)</f>
        <v>619.95205438527273</v>
      </c>
      <c r="H28" s="153">
        <f>('Balance Sheet'!I50+'Balance Sheet'!I51)-('Balance Sheet'!H50+'Balance Sheet'!H51)</f>
        <v>1198.8893202134232</v>
      </c>
      <c r="I28" s="149">
        <f>('Balance Sheet'!J50+'Balance Sheet'!J51)-('Balance Sheet'!I50+'Balance Sheet'!I51)</f>
        <v>-354.53553759160877</v>
      </c>
      <c r="J28" s="149">
        <f>('Balance Sheet'!K50+'Balance Sheet'!K51)-('Balance Sheet'!J50+'Balance Sheet'!J51)</f>
        <v>1705.0653289651482</v>
      </c>
      <c r="K28" s="149">
        <f>('Balance Sheet'!L50+'Balance Sheet'!L51)-('Balance Sheet'!K50+'Balance Sheet'!K51)</f>
        <v>31.215420135376007</v>
      </c>
      <c r="L28" s="163"/>
      <c r="M28" s="163"/>
      <c r="N28" s="163"/>
      <c r="O28" s="163"/>
      <c r="P28" s="163"/>
      <c r="Q28" s="163"/>
    </row>
    <row r="29" spans="1:17">
      <c r="A29" s="89" t="s">
        <v>382</v>
      </c>
      <c r="B29" s="101">
        <v>0.35</v>
      </c>
      <c r="C29" s="101">
        <v>21.37</v>
      </c>
      <c r="D29" s="101">
        <v>11.59</v>
      </c>
      <c r="E29" s="101">
        <v>15.37</v>
      </c>
      <c r="F29" s="101">
        <v>-87.46</v>
      </c>
      <c r="G29" s="170">
        <f>('Balance Sheet'!G43-'Balance Sheet'!H43)+('Balance Sheet'!G53-'Balance Sheet'!H53)</f>
        <v>5.6843418860808015E-14</v>
      </c>
      <c r="H29" s="166">
        <f>('Balance Sheet'!H43-'Balance Sheet'!I43)+('Balance Sheet'!H53-'Balance Sheet'!I53)</f>
        <v>0</v>
      </c>
      <c r="I29" s="170">
        <f>('Balance Sheet'!I43-'Balance Sheet'!J43)+('Balance Sheet'!I53-'Balance Sheet'!J53)</f>
        <v>0</v>
      </c>
      <c r="J29" s="170">
        <f>('Balance Sheet'!J43-'Balance Sheet'!K43)+('Balance Sheet'!J53-'Balance Sheet'!K53)</f>
        <v>0</v>
      </c>
      <c r="K29" s="170">
        <f>('Balance Sheet'!K43-'Balance Sheet'!L43)+('Balance Sheet'!K53-'Balance Sheet'!L53)</f>
        <v>0</v>
      </c>
    </row>
    <row r="30" spans="1:17">
      <c r="A30" s="89" t="s">
        <v>383</v>
      </c>
      <c r="B30" s="101">
        <v>-464.29</v>
      </c>
      <c r="C30" s="101">
        <v>265.45</v>
      </c>
      <c r="D30" s="101">
        <v>-106.87</v>
      </c>
      <c r="E30" s="101">
        <v>-526.9</v>
      </c>
      <c r="F30" s="101">
        <v>472.77</v>
      </c>
      <c r="G30" s="149">
        <f>'Balance Sheet'!G20-'Balance Sheet'!H20</f>
        <v>124.74568141457735</v>
      </c>
      <c r="H30" s="153">
        <f>'Balance Sheet'!H20-'Balance Sheet'!I20</f>
        <v>-426.58765091170164</v>
      </c>
      <c r="I30" s="149">
        <f>'Balance Sheet'!I20-'Balance Sheet'!J20</f>
        <v>212.94624599707299</v>
      </c>
      <c r="J30" s="149">
        <f>'Balance Sheet'!J20-'Balance Sheet'!K20</f>
        <v>-452.88889358716642</v>
      </c>
      <c r="K30" s="149">
        <f>'Balance Sheet'!K20-'Balance Sheet'!L20</f>
        <v>183.36642926099375</v>
      </c>
      <c r="L30" s="152"/>
      <c r="M30" s="152"/>
      <c r="N30" s="152"/>
      <c r="O30" s="152"/>
      <c r="P30" s="152"/>
    </row>
    <row r="31" spans="1:17">
      <c r="A31" s="89" t="s">
        <v>384</v>
      </c>
      <c r="B31" s="101">
        <v>-949.82</v>
      </c>
      <c r="C31" s="101">
        <v>-724.27</v>
      </c>
      <c r="D31" s="104">
        <v>-1251.74</v>
      </c>
      <c r="E31" s="104">
        <v>-2844.04</v>
      </c>
      <c r="F31" s="104">
        <v>-1314.7</v>
      </c>
      <c r="G31" s="140">
        <f>'Balance Sheet'!G23-'Balance Sheet'!H23</f>
        <v>2374.9521015985056</v>
      </c>
      <c r="H31" s="164">
        <f>'Balance Sheet'!H23-'Balance Sheet'!I23</f>
        <v>-5295.2961040525261</v>
      </c>
      <c r="I31" s="140">
        <f>'Balance Sheet'!I23-'Balance Sheet'!J23</f>
        <v>3278.5539941510351</v>
      </c>
      <c r="J31" s="140">
        <f>'Balance Sheet'!J23-'Balance Sheet'!K23</f>
        <v>-5543.8584823016836</v>
      </c>
      <c r="K31" s="140">
        <f>'Balance Sheet'!K23-'Balance Sheet'!L23</f>
        <v>2998.9844277845968</v>
      </c>
      <c r="L31" s="163"/>
      <c r="M31" s="163"/>
      <c r="N31" s="163"/>
      <c r="O31" s="163"/>
      <c r="P31" s="163"/>
    </row>
    <row r="32" spans="1:17">
      <c r="A32" s="89" t="s">
        <v>385</v>
      </c>
      <c r="B32" s="101">
        <v>152.34</v>
      </c>
      <c r="C32" s="101">
        <v>-507.51</v>
      </c>
      <c r="D32" s="101">
        <v>853.07</v>
      </c>
      <c r="E32" s="101">
        <v>-296.45</v>
      </c>
      <c r="F32" s="101">
        <v>-234.84</v>
      </c>
      <c r="G32" s="149">
        <f>('Balance Sheet'!G17-'Balance Sheet'!H17)+('Balance Sheet'!G28-'Balance Sheet'!H28)</f>
        <v>0</v>
      </c>
      <c r="H32" s="153">
        <f>('Balance Sheet'!H17-'Balance Sheet'!I17)+('Balance Sheet'!H28-'Balance Sheet'!I28)</f>
        <v>0</v>
      </c>
      <c r="I32" s="149">
        <f>('Balance Sheet'!I17-'Balance Sheet'!J17)+('Balance Sheet'!I28-'Balance Sheet'!J28)</f>
        <v>0</v>
      </c>
      <c r="J32" s="149">
        <f>('Balance Sheet'!J17-'Balance Sheet'!K17)+('Balance Sheet'!J28-'Balance Sheet'!K28)</f>
        <v>0</v>
      </c>
      <c r="K32" s="149">
        <f>('Balance Sheet'!K17-'Balance Sheet'!L17)+('Balance Sheet'!K28-'Balance Sheet'!L28)</f>
        <v>0</v>
      </c>
    </row>
    <row r="33" spans="1:11" s="87" customFormat="1">
      <c r="A33" s="79" t="s">
        <v>420</v>
      </c>
      <c r="B33" s="178">
        <f t="shared" ref="B33:K33" si="2">B25+SUM(B28:B32)</f>
        <v>2423.58</v>
      </c>
      <c r="C33" s="178">
        <f t="shared" si="2"/>
        <v>3540.9399999999987</v>
      </c>
      <c r="D33" s="178">
        <f t="shared" si="2"/>
        <v>5152.6099999999988</v>
      </c>
      <c r="E33" s="178">
        <f t="shared" si="2"/>
        <v>5626.4899999999989</v>
      </c>
      <c r="F33" s="178">
        <f t="shared" si="2"/>
        <v>5954.3199999999988</v>
      </c>
      <c r="G33" s="172">
        <f t="shared" si="2"/>
        <v>10119.115322149966</v>
      </c>
      <c r="H33" s="86">
        <f t="shared" si="2"/>
        <v>4078.649035817376</v>
      </c>
      <c r="I33" s="172">
        <f t="shared" si="2"/>
        <v>12884.906979345225</v>
      </c>
      <c r="J33" s="172">
        <f t="shared" si="2"/>
        <v>6667.5483567910023</v>
      </c>
      <c r="K33" s="172">
        <f t="shared" si="2"/>
        <v>15515.190160868733</v>
      </c>
    </row>
    <row r="34" spans="1:11" s="87" customFormat="1">
      <c r="B34" s="108"/>
      <c r="C34" s="108"/>
      <c r="D34" s="108"/>
      <c r="E34" s="108"/>
      <c r="F34" s="108"/>
      <c r="G34" s="143"/>
      <c r="H34" s="88"/>
      <c r="I34" s="143"/>
      <c r="J34" s="143"/>
      <c r="K34" s="143"/>
    </row>
    <row r="35" spans="1:11">
      <c r="A35" s="89" t="s">
        <v>386</v>
      </c>
      <c r="B35" s="101">
        <v>-569.16</v>
      </c>
      <c r="C35" s="101">
        <v>-975.82</v>
      </c>
      <c r="D35" s="104">
        <v>-1084.98</v>
      </c>
      <c r="E35" s="104">
        <v>-1227.57</v>
      </c>
      <c r="F35" s="104">
        <v>-1129.04</v>
      </c>
      <c r="G35" s="149">
        <f>-'Income Statement '!G83</f>
        <v>-1115.8554327517875</v>
      </c>
      <c r="H35" s="153">
        <f>-'Income Statement '!H83</f>
        <v>-1359.8391459913325</v>
      </c>
      <c r="I35" s="149">
        <f>-'Income Statement '!I83</f>
        <v>-1507.3469675224028</v>
      </c>
      <c r="J35" s="149">
        <f>-'Income Statement '!J83</f>
        <v>-1698.8000422603475</v>
      </c>
      <c r="K35" s="149">
        <f>-'Income Statement '!K83</f>
        <v>-1918.7474963413563</v>
      </c>
    </row>
    <row r="36" spans="1:11" s="87" customFormat="1">
      <c r="A36" s="79" t="s">
        <v>387</v>
      </c>
      <c r="B36" s="178">
        <f>B33+B35</f>
        <v>1854.42</v>
      </c>
      <c r="C36" s="178">
        <f>C33+C35</f>
        <v>2565.1199999999985</v>
      </c>
      <c r="D36" s="178">
        <f t="shared" ref="D36:K36" si="3">D33+D35</f>
        <v>4067.6299999999987</v>
      </c>
      <c r="E36" s="178">
        <f t="shared" si="3"/>
        <v>4398.9199999999992</v>
      </c>
      <c r="F36" s="178">
        <f t="shared" si="3"/>
        <v>4825.2799999999988</v>
      </c>
      <c r="G36" s="172">
        <f t="shared" si="3"/>
        <v>9003.2598893981794</v>
      </c>
      <c r="H36" s="86">
        <f t="shared" si="3"/>
        <v>2718.8098898260432</v>
      </c>
      <c r="I36" s="172">
        <f t="shared" si="3"/>
        <v>11377.560011822823</v>
      </c>
      <c r="J36" s="172">
        <f t="shared" si="3"/>
        <v>4968.7483145306551</v>
      </c>
      <c r="K36" s="172">
        <f t="shared" si="3"/>
        <v>13596.442664527376</v>
      </c>
    </row>
    <row r="37" spans="1:11">
      <c r="C37" s="132">
        <f>C36/B36-1</f>
        <v>0.38324651373475183</v>
      </c>
      <c r="D37" s="132">
        <f>D36/C36-1</f>
        <v>0.58574647579840367</v>
      </c>
      <c r="E37" s="132">
        <f>E36/D36-1</f>
        <v>8.1445460870334996E-2</v>
      </c>
      <c r="F37" s="132">
        <f>F36/E36-1</f>
        <v>9.69237903849125E-2</v>
      </c>
      <c r="G37" s="150"/>
      <c r="H37" s="157"/>
      <c r="I37" s="150"/>
      <c r="J37" s="150"/>
      <c r="K37" s="150"/>
    </row>
    <row r="38" spans="1:11">
      <c r="A38" s="87" t="s">
        <v>388</v>
      </c>
      <c r="G38" s="139"/>
      <c r="H38" s="155"/>
      <c r="I38" s="139"/>
      <c r="J38" s="139"/>
      <c r="K38" s="139"/>
    </row>
    <row r="39" spans="1:11">
      <c r="A39" s="89" t="s">
        <v>389</v>
      </c>
      <c r="B39" s="101">
        <v>49.09</v>
      </c>
      <c r="C39" s="101">
        <v>7.04</v>
      </c>
      <c r="D39" s="101">
        <v>19.57</v>
      </c>
      <c r="E39" s="101">
        <v>22.86</v>
      </c>
      <c r="F39" s="101">
        <v>24.37</v>
      </c>
      <c r="G39" s="170">
        <f>'Income Statement '!G72</f>
        <v>7.9927968215670102</v>
      </c>
      <c r="H39" s="166">
        <f>'Income Statement '!H72</f>
        <v>2.7545447351314749</v>
      </c>
      <c r="I39" s="170">
        <f>'Income Statement '!I72</f>
        <v>0</v>
      </c>
      <c r="J39" s="170">
        <f>'Income Statement '!J72</f>
        <v>0</v>
      </c>
      <c r="K39" s="170">
        <f>'Income Statement '!K72</f>
        <v>0</v>
      </c>
    </row>
    <row r="40" spans="1:11">
      <c r="A40" s="89" t="s">
        <v>396</v>
      </c>
      <c r="B40" s="101">
        <v>-550.86</v>
      </c>
      <c r="C40" s="104">
        <v>-2839.67</v>
      </c>
      <c r="D40" s="104">
        <v>-1933.18</v>
      </c>
      <c r="E40" s="104">
        <v>-1083.76</v>
      </c>
      <c r="F40" s="104">
        <v>-1543.37</v>
      </c>
      <c r="G40" s="140">
        <f>-Notes!G6-1000</f>
        <v>-2500</v>
      </c>
      <c r="H40" s="164">
        <f>-Notes!H6-1000</f>
        <v>-2600</v>
      </c>
      <c r="I40" s="140">
        <f>-Notes!I6-1000</f>
        <v>-2700</v>
      </c>
      <c r="J40" s="140">
        <f>-Notes!J6-1000</f>
        <v>-3000</v>
      </c>
      <c r="K40" s="140">
        <f>-Notes!K6-1000</f>
        <v>-3100</v>
      </c>
    </row>
    <row r="41" spans="1:11">
      <c r="A41" s="89" t="s">
        <v>390</v>
      </c>
      <c r="B41" s="104">
        <v>-3356.82</v>
      </c>
      <c r="C41" s="104">
        <v>-8304.68</v>
      </c>
      <c r="D41" s="104">
        <v>-11578.43</v>
      </c>
      <c r="E41" s="104">
        <v>-15408.41</v>
      </c>
      <c r="F41" s="104">
        <v>-16461.650000000001</v>
      </c>
      <c r="G41" s="139">
        <v>-500</v>
      </c>
      <c r="H41" s="155">
        <f>G41-100</f>
        <v>-600</v>
      </c>
      <c r="I41" s="139">
        <f t="shared" ref="I41:K41" si="4">H41-100</f>
        <v>-700</v>
      </c>
      <c r="J41" s="139">
        <f t="shared" si="4"/>
        <v>-800</v>
      </c>
      <c r="K41" s="139">
        <f t="shared" si="4"/>
        <v>-900</v>
      </c>
    </row>
    <row r="42" spans="1:11">
      <c r="A42" s="89" t="s">
        <v>391</v>
      </c>
      <c r="B42" s="104">
        <v>2812.05</v>
      </c>
      <c r="C42" s="104">
        <v>8217.41</v>
      </c>
      <c r="D42" s="104">
        <v>10399.99</v>
      </c>
      <c r="E42" s="104">
        <v>13505.63</v>
      </c>
      <c r="F42" s="104">
        <v>15389.14</v>
      </c>
      <c r="G42" s="139">
        <v>0</v>
      </c>
      <c r="H42" s="155">
        <v>0</v>
      </c>
      <c r="I42" s="139">
        <v>0</v>
      </c>
      <c r="J42" s="139">
        <v>0</v>
      </c>
      <c r="K42" s="139">
        <v>0</v>
      </c>
    </row>
    <row r="43" spans="1:11">
      <c r="A43" s="89" t="s">
        <v>392</v>
      </c>
      <c r="B43" s="177" t="s">
        <v>45</v>
      </c>
      <c r="C43" s="101">
        <v>-143.86000000000001</v>
      </c>
      <c r="G43" s="139">
        <v>0</v>
      </c>
      <c r="H43" s="155">
        <v>0</v>
      </c>
      <c r="I43" s="139">
        <v>0</v>
      </c>
      <c r="J43" s="139">
        <v>0</v>
      </c>
      <c r="K43" s="139">
        <v>0</v>
      </c>
    </row>
    <row r="44" spans="1:11">
      <c r="A44" s="89" t="s">
        <v>393</v>
      </c>
      <c r="B44" s="104">
        <v>-2521.9</v>
      </c>
      <c r="C44" s="101">
        <v>-844.53</v>
      </c>
      <c r="D44" s="104">
        <v>-1071.42</v>
      </c>
      <c r="E44" s="104">
        <v>-1568.47</v>
      </c>
      <c r="F44" s="101">
        <v>-648.76</v>
      </c>
      <c r="G44" s="139">
        <v>0</v>
      </c>
      <c r="H44" s="155">
        <v>0</v>
      </c>
      <c r="I44" s="139">
        <v>0</v>
      </c>
      <c r="J44" s="139">
        <v>0</v>
      </c>
      <c r="K44" s="139">
        <v>0</v>
      </c>
    </row>
    <row r="45" spans="1:11">
      <c r="A45" s="89" t="s">
        <v>394</v>
      </c>
      <c r="B45" s="104">
        <v>2075.0500000000002</v>
      </c>
      <c r="C45" s="101">
        <v>645.80999999999995</v>
      </c>
      <c r="D45" s="101">
        <v>885.15</v>
      </c>
      <c r="E45" s="104">
        <v>1218.1300000000001</v>
      </c>
      <c r="F45" s="101">
        <v>443.65</v>
      </c>
      <c r="G45" s="139">
        <v>0</v>
      </c>
      <c r="H45" s="155">
        <v>0</v>
      </c>
      <c r="I45" s="139">
        <v>0</v>
      </c>
      <c r="J45" s="139">
        <v>0</v>
      </c>
      <c r="K45" s="139">
        <v>0</v>
      </c>
    </row>
    <row r="46" spans="1:11">
      <c r="A46" s="89" t="s">
        <v>407</v>
      </c>
      <c r="B46" s="180" t="s">
        <v>45</v>
      </c>
      <c r="C46" s="177" t="s">
        <v>45</v>
      </c>
      <c r="D46" s="101">
        <v>52.09</v>
      </c>
      <c r="E46" s="101">
        <v>63.2</v>
      </c>
      <c r="F46" s="101">
        <v>132.06</v>
      </c>
      <c r="G46" s="139">
        <f>'Key Indicator'!H260</f>
        <v>100</v>
      </c>
      <c r="H46" s="155">
        <f>'Key Indicator'!I260</f>
        <v>100</v>
      </c>
      <c r="I46" s="139">
        <f>'Key Indicator'!J260</f>
        <v>100</v>
      </c>
      <c r="J46" s="139">
        <f>'Key Indicator'!K260</f>
        <v>100</v>
      </c>
      <c r="K46" s="139">
        <f>'Key Indicator'!L260</f>
        <v>100</v>
      </c>
    </row>
    <row r="47" spans="1:11">
      <c r="A47" s="79" t="s">
        <v>395</v>
      </c>
      <c r="B47" s="129">
        <f t="shared" ref="B47:K47" si="5">SUM(B39:B46)</f>
        <v>-1493.3899999999999</v>
      </c>
      <c r="C47" s="129">
        <f t="shared" si="5"/>
        <v>-3262.4800000000018</v>
      </c>
      <c r="D47" s="129">
        <f t="shared" si="5"/>
        <v>-3226.2300000000009</v>
      </c>
      <c r="E47" s="129">
        <f t="shared" si="5"/>
        <v>-3250.8200000000024</v>
      </c>
      <c r="F47" s="129">
        <f t="shared" si="5"/>
        <v>-2664.5600000000022</v>
      </c>
      <c r="G47" s="148">
        <f t="shared" si="5"/>
        <v>-2892.007203178433</v>
      </c>
      <c r="H47" s="96">
        <f t="shared" si="5"/>
        <v>-3097.2454552648687</v>
      </c>
      <c r="I47" s="148">
        <f t="shared" si="5"/>
        <v>-3300</v>
      </c>
      <c r="J47" s="148">
        <f t="shared" si="5"/>
        <v>-3700</v>
      </c>
      <c r="K47" s="148">
        <f t="shared" si="5"/>
        <v>-3900</v>
      </c>
    </row>
    <row r="48" spans="1:11">
      <c r="C48" s="132"/>
      <c r="D48" s="132"/>
      <c r="E48" s="132"/>
      <c r="F48" s="132"/>
      <c r="G48" s="139"/>
      <c r="H48" s="155"/>
      <c r="I48" s="139"/>
      <c r="J48" s="139"/>
      <c r="K48" s="139"/>
    </row>
    <row r="49" spans="1:11">
      <c r="A49" s="87" t="s">
        <v>397</v>
      </c>
      <c r="G49" s="139"/>
      <c r="H49" s="155"/>
      <c r="I49" s="139"/>
      <c r="J49" s="139"/>
      <c r="K49" s="139"/>
    </row>
    <row r="50" spans="1:11">
      <c r="A50" s="89" t="s">
        <v>398</v>
      </c>
      <c r="C50" s="101">
        <v>637.64</v>
      </c>
      <c r="D50" s="101">
        <v>157.46</v>
      </c>
      <c r="E50" s="104">
        <v>1154.0999999999999</v>
      </c>
      <c r="F50" s="101">
        <v>243.1</v>
      </c>
      <c r="G50" s="171" t="s">
        <v>45</v>
      </c>
      <c r="H50" s="167" t="s">
        <v>45</v>
      </c>
      <c r="I50" s="171" t="s">
        <v>45</v>
      </c>
      <c r="J50" s="171" t="s">
        <v>45</v>
      </c>
      <c r="K50" s="171" t="s">
        <v>45</v>
      </c>
    </row>
    <row r="51" spans="1:11">
      <c r="A51" s="89" t="s">
        <v>399</v>
      </c>
      <c r="B51" s="101">
        <v>-362.6</v>
      </c>
      <c r="C51" s="101">
        <v>-226.44</v>
      </c>
      <c r="D51" s="101">
        <v>-154.06</v>
      </c>
      <c r="E51" s="104">
        <v>-1135.1500000000001</v>
      </c>
      <c r="F51" s="104">
        <v>-1063.1600000000001</v>
      </c>
      <c r="G51" s="149">
        <f>-'Income Statement '!G88</f>
        <v>-1171.6482043893766</v>
      </c>
      <c r="H51" s="153">
        <f>-'Income Statement '!H88</f>
        <v>-1223.8552313921991</v>
      </c>
      <c r="I51" s="149">
        <f>-'Income Statement '!I88</f>
        <v>-1356.6122707701627</v>
      </c>
      <c r="J51" s="149">
        <f>-'Income Statement '!J88</f>
        <v>-1528.9200380343127</v>
      </c>
      <c r="K51" s="149">
        <f>-'Income Statement '!K88</f>
        <v>-1726.8727467072206</v>
      </c>
    </row>
    <row r="52" spans="1:11">
      <c r="A52" s="89" t="s">
        <v>50</v>
      </c>
      <c r="B52" s="101">
        <v>-8.8800000000000008</v>
      </c>
      <c r="C52" s="101">
        <v>-0.08</v>
      </c>
      <c r="E52" s="101">
        <v>0</v>
      </c>
      <c r="F52" s="101">
        <v>-2.1</v>
      </c>
      <c r="G52" s="171" t="s">
        <v>45</v>
      </c>
      <c r="H52" s="167" t="s">
        <v>45</v>
      </c>
      <c r="I52" s="171" t="s">
        <v>45</v>
      </c>
      <c r="J52" s="171" t="s">
        <v>45</v>
      </c>
      <c r="K52" s="171" t="s">
        <v>45</v>
      </c>
    </row>
    <row r="53" spans="1:11">
      <c r="A53" s="89" t="s">
        <v>400</v>
      </c>
      <c r="B53" s="101">
        <v>-73.44</v>
      </c>
      <c r="C53" s="101">
        <v>-143.82</v>
      </c>
      <c r="D53" s="101">
        <v>-184.46</v>
      </c>
      <c r="E53" s="101">
        <v>-162.1</v>
      </c>
      <c r="F53" s="101">
        <v>-179.87</v>
      </c>
      <c r="G53" s="149">
        <f>-Notes!G76</f>
        <v>-173.40405386279946</v>
      </c>
      <c r="H53" s="153">
        <f>-Notes!H76</f>
        <v>-163.8168</v>
      </c>
      <c r="I53" s="149">
        <f>-Notes!I76</f>
        <v>-167.80015999999995</v>
      </c>
      <c r="J53" s="149">
        <f>-Notes!J76</f>
        <v>-164.46819199999999</v>
      </c>
      <c r="K53" s="149">
        <f>-Notes!K76</f>
        <v>-164.94183039999996</v>
      </c>
    </row>
    <row r="54" spans="1:11">
      <c r="A54" s="89" t="s">
        <v>401</v>
      </c>
      <c r="B54" s="101">
        <v>-172.25</v>
      </c>
      <c r="C54" s="101">
        <v>-261.61</v>
      </c>
      <c r="D54" s="101">
        <v>-340.67</v>
      </c>
      <c r="E54" s="101">
        <v>-378.02</v>
      </c>
      <c r="F54" s="101">
        <v>-440.25</v>
      </c>
      <c r="G54" s="149">
        <f>-Notes!G75</f>
        <v>-318.56</v>
      </c>
      <c r="H54" s="153">
        <f>-Notes!H75</f>
        <v>-347.822</v>
      </c>
      <c r="I54" s="149">
        <f>-Notes!I75</f>
        <v>-365.06440000000003</v>
      </c>
      <c r="J54" s="149">
        <f>-Notes!J75</f>
        <v>-369.94328000000002</v>
      </c>
      <c r="K54" s="149">
        <f>-Notes!K75</f>
        <v>-368.32793600000002</v>
      </c>
    </row>
    <row r="55" spans="1:11" s="87" customFormat="1">
      <c r="A55" s="79" t="s">
        <v>402</v>
      </c>
      <c r="B55" s="133">
        <f t="shared" ref="B55:K55" si="6">SUM(B50:B54)</f>
        <v>-617.17000000000007</v>
      </c>
      <c r="C55" s="133">
        <f t="shared" si="6"/>
        <v>5.6899999999999977</v>
      </c>
      <c r="D55" s="133">
        <f t="shared" si="6"/>
        <v>-521.73</v>
      </c>
      <c r="E55" s="133">
        <f t="shared" si="6"/>
        <v>-521.17000000000019</v>
      </c>
      <c r="F55" s="133">
        <f t="shared" si="6"/>
        <v>-1442.2800000000002</v>
      </c>
      <c r="G55" s="151">
        <f t="shared" si="6"/>
        <v>-1663.6122582521759</v>
      </c>
      <c r="H55" s="90">
        <f t="shared" si="6"/>
        <v>-1735.4940313921993</v>
      </c>
      <c r="I55" s="151">
        <f t="shared" si="6"/>
        <v>-1889.4768307701627</v>
      </c>
      <c r="J55" s="151">
        <f t="shared" si="6"/>
        <v>-2063.3315100343129</v>
      </c>
      <c r="K55" s="151">
        <f t="shared" si="6"/>
        <v>-2260.1425131072206</v>
      </c>
    </row>
    <row r="56" spans="1:11">
      <c r="G56" s="139"/>
      <c r="H56" s="155"/>
      <c r="I56" s="139"/>
      <c r="J56" s="139"/>
      <c r="K56" s="139"/>
    </row>
    <row r="57" spans="1:11" s="87" customFormat="1">
      <c r="A57" s="79" t="s">
        <v>403</v>
      </c>
      <c r="B57" s="178">
        <f t="shared" ref="B57:K57" si="7">B36+B47+B55</f>
        <v>-256.13999999999987</v>
      </c>
      <c r="C57" s="178">
        <f t="shared" si="7"/>
        <v>-691.67000000000326</v>
      </c>
      <c r="D57" s="178">
        <f t="shared" si="7"/>
        <v>319.6699999999978</v>
      </c>
      <c r="E57" s="178">
        <f t="shared" si="7"/>
        <v>626.92999999999654</v>
      </c>
      <c r="F57" s="178">
        <f t="shared" si="7"/>
        <v>718.43999999999642</v>
      </c>
      <c r="G57" s="172">
        <f t="shared" si="7"/>
        <v>4447.6404279675708</v>
      </c>
      <c r="H57" s="86">
        <f t="shared" si="7"/>
        <v>-2113.9295968310248</v>
      </c>
      <c r="I57" s="172">
        <f t="shared" si="7"/>
        <v>6188.0831810526606</v>
      </c>
      <c r="J57" s="172">
        <f t="shared" si="7"/>
        <v>-794.58319550365786</v>
      </c>
      <c r="K57" s="172">
        <f t="shared" si="7"/>
        <v>7436.3001514201551</v>
      </c>
    </row>
    <row r="58" spans="1:11" s="87" customFormat="1">
      <c r="B58" s="108"/>
      <c r="C58" s="116"/>
      <c r="D58" s="116"/>
      <c r="E58" s="116"/>
      <c r="F58" s="116"/>
      <c r="G58" s="173"/>
      <c r="H58" s="168"/>
      <c r="I58" s="173"/>
      <c r="J58" s="173"/>
      <c r="K58" s="173"/>
    </row>
    <row r="59" spans="1:11">
      <c r="A59" s="89" t="s">
        <v>404</v>
      </c>
      <c r="B59" s="104">
        <v>1591.3</v>
      </c>
      <c r="C59" s="104">
        <f>B61</f>
        <v>1335.16</v>
      </c>
      <c r="D59" s="104">
        <f>C61</f>
        <v>643.48999999999683</v>
      </c>
      <c r="E59" s="104">
        <f>D61</f>
        <v>963.15999999999462</v>
      </c>
      <c r="F59" s="104">
        <f>E61</f>
        <v>1590.0899999999911</v>
      </c>
      <c r="G59" s="140">
        <f>F61</f>
        <v>2308.5299999999875</v>
      </c>
      <c r="H59" s="164">
        <f t="shared" ref="H59:K59" si="8">G61</f>
        <v>6756.1704279675578</v>
      </c>
      <c r="I59" s="140">
        <f t="shared" si="8"/>
        <v>4642.2408311365325</v>
      </c>
      <c r="J59" s="140">
        <f t="shared" si="8"/>
        <v>10830.324012189194</v>
      </c>
      <c r="K59" s="140">
        <f t="shared" si="8"/>
        <v>10035.740816685537</v>
      </c>
    </row>
    <row r="60" spans="1:11">
      <c r="B60" s="104"/>
      <c r="C60" s="104"/>
      <c r="D60" s="104"/>
      <c r="E60" s="104"/>
      <c r="F60" s="104"/>
      <c r="G60" s="140"/>
      <c r="H60" s="164"/>
      <c r="I60" s="140"/>
      <c r="J60" s="140"/>
      <c r="K60" s="140"/>
    </row>
    <row r="61" spans="1:11" s="87" customFormat="1" ht="15.75" thickBot="1">
      <c r="A61" s="94" t="s">
        <v>405</v>
      </c>
      <c r="B61" s="179">
        <f t="shared" ref="B61:G61" si="9">B59+B57</f>
        <v>1335.16</v>
      </c>
      <c r="C61" s="179">
        <f t="shared" si="9"/>
        <v>643.48999999999683</v>
      </c>
      <c r="D61" s="179">
        <f t="shared" si="9"/>
        <v>963.15999999999462</v>
      </c>
      <c r="E61" s="179">
        <f t="shared" si="9"/>
        <v>1590.0899999999911</v>
      </c>
      <c r="F61" s="179">
        <f t="shared" si="9"/>
        <v>2308.5299999999875</v>
      </c>
      <c r="G61" s="174">
        <f t="shared" si="9"/>
        <v>6756.1704279675578</v>
      </c>
      <c r="H61" s="95">
        <f t="shared" ref="H61:K61" si="10">H59+H57</f>
        <v>4642.2408311365325</v>
      </c>
      <c r="I61" s="174">
        <f t="shared" si="10"/>
        <v>10830.324012189194</v>
      </c>
      <c r="J61" s="174">
        <f t="shared" si="10"/>
        <v>10035.740816685537</v>
      </c>
      <c r="K61" s="174">
        <f t="shared" si="10"/>
        <v>17472.040968105692</v>
      </c>
    </row>
    <row r="66" spans="3:6">
      <c r="E66" s="104"/>
      <c r="F66" s="104"/>
    </row>
    <row r="67" spans="3:6">
      <c r="C67" s="177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12FE-7A3C-4B2E-AE05-2D2290FE7130}">
  <dimension ref="A1:U7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" sqref="M1"/>
    </sheetView>
  </sheetViews>
  <sheetFormatPr defaultRowHeight="15"/>
  <cols>
    <col min="1" max="1" width="25.28515625" style="72" customWidth="1"/>
    <col min="2" max="16384" width="9.140625" style="72"/>
  </cols>
  <sheetData>
    <row r="1" spans="1:21">
      <c r="A1" s="99" t="s">
        <v>0</v>
      </c>
      <c r="B1" s="99">
        <v>2021</v>
      </c>
      <c r="C1" s="99">
        <f>B1+1</f>
        <v>2022</v>
      </c>
      <c r="D1" s="99">
        <f t="shared" ref="D1:K1" si="0">C1+1</f>
        <v>2023</v>
      </c>
      <c r="E1" s="99">
        <f t="shared" si="0"/>
        <v>2024</v>
      </c>
      <c r="F1" s="99">
        <f t="shared" si="0"/>
        <v>2025</v>
      </c>
      <c r="G1" s="98">
        <f t="shared" si="0"/>
        <v>2026</v>
      </c>
      <c r="H1" s="98">
        <f t="shared" si="0"/>
        <v>2027</v>
      </c>
      <c r="I1" s="98">
        <f t="shared" si="0"/>
        <v>2028</v>
      </c>
      <c r="J1" s="98">
        <f t="shared" si="0"/>
        <v>2029</v>
      </c>
      <c r="K1" s="98">
        <f t="shared" si="0"/>
        <v>2030</v>
      </c>
    </row>
    <row r="2" spans="1:21" s="75" customFormat="1">
      <c r="A2" s="138" t="s">
        <v>283</v>
      </c>
      <c r="B2" s="138"/>
      <c r="C2" s="138"/>
      <c r="D2" s="138"/>
      <c r="E2" s="138"/>
      <c r="F2" s="138"/>
      <c r="G2" s="138"/>
      <c r="H2" s="138"/>
      <c r="I2" s="138"/>
      <c r="J2" s="138"/>
      <c r="K2" s="154"/>
      <c r="M2" s="75" t="s">
        <v>512</v>
      </c>
    </row>
    <row r="3" spans="1:21">
      <c r="A3" s="100" t="s">
        <v>435</v>
      </c>
      <c r="B3" s="101"/>
      <c r="C3" s="101"/>
      <c r="D3" s="101"/>
      <c r="E3" s="101"/>
      <c r="F3" s="101"/>
      <c r="G3" s="139"/>
      <c r="H3" s="139"/>
      <c r="I3" s="139"/>
      <c r="J3" s="139"/>
      <c r="K3" s="139"/>
      <c r="N3" s="91">
        <v>2023</v>
      </c>
      <c r="O3" s="91">
        <v>2024</v>
      </c>
      <c r="P3" s="91">
        <v>2025</v>
      </c>
      <c r="Q3" s="72">
        <f>P3+1</f>
        <v>2026</v>
      </c>
      <c r="R3" s="72">
        <f>Q3+1</f>
        <v>2027</v>
      </c>
      <c r="S3" s="72">
        <f>R3+1</f>
        <v>2028</v>
      </c>
      <c r="T3" s="72">
        <f>S3+1</f>
        <v>2029</v>
      </c>
      <c r="U3" s="72">
        <f>T3+1</f>
        <v>2030</v>
      </c>
    </row>
    <row r="4" spans="1:21">
      <c r="A4" s="102"/>
      <c r="B4" s="101"/>
      <c r="C4" s="101"/>
      <c r="D4" s="101"/>
      <c r="E4" s="101"/>
      <c r="F4" s="101"/>
      <c r="G4" s="139"/>
      <c r="H4" s="139"/>
      <c r="I4" s="139"/>
      <c r="J4" s="139"/>
      <c r="K4" s="139"/>
      <c r="M4" s="72" t="s">
        <v>508</v>
      </c>
      <c r="O4" s="72">
        <v>1328.33</v>
      </c>
      <c r="P4" s="72">
        <f>O8</f>
        <v>1322.7399999999998</v>
      </c>
      <c r="Q4" s="78">
        <f>P8</f>
        <v>766.80999999999983</v>
      </c>
      <c r="R4" s="78">
        <f>Q8</f>
        <v>867.72829892611435</v>
      </c>
      <c r="S4" s="78">
        <f>R8</f>
        <v>989.41221293977719</v>
      </c>
      <c r="T4" s="78">
        <f>S8</f>
        <v>1125.7938682536685</v>
      </c>
      <c r="U4" s="78">
        <f>T8</f>
        <v>1278.6826934327848</v>
      </c>
    </row>
    <row r="5" spans="1:21">
      <c r="A5" s="103" t="s">
        <v>427</v>
      </c>
      <c r="B5" s="104">
        <v>3609.4</v>
      </c>
      <c r="C5" s="104">
        <f t="shared" ref="C5:K5" si="1">B8</f>
        <v>4468.3200000000006</v>
      </c>
      <c r="D5" s="104">
        <f t="shared" si="1"/>
        <v>6428.7700000000013</v>
      </c>
      <c r="E5" s="104">
        <f t="shared" si="1"/>
        <v>8166.3300000000017</v>
      </c>
      <c r="F5" s="104">
        <f t="shared" si="1"/>
        <v>8781.590000000002</v>
      </c>
      <c r="G5" s="140">
        <f t="shared" si="1"/>
        <v>9767.7300000000032</v>
      </c>
      <c r="H5" s="140">
        <f t="shared" si="1"/>
        <v>10995.394000000004</v>
      </c>
      <c r="I5" s="140">
        <f t="shared" si="1"/>
        <v>12310.236800000004</v>
      </c>
      <c r="J5" s="140">
        <f t="shared" si="1"/>
        <v>13703.788160000004</v>
      </c>
      <c r="K5" s="140">
        <f t="shared" si="1"/>
        <v>15398.953792000004</v>
      </c>
      <c r="M5" s="72" t="s">
        <v>511</v>
      </c>
      <c r="P5" s="72">
        <v>-662.8</v>
      </c>
      <c r="Q5" s="78">
        <v>0</v>
      </c>
      <c r="R5" s="78">
        <v>0</v>
      </c>
      <c r="S5" s="78">
        <v>0</v>
      </c>
      <c r="T5" s="78">
        <v>0</v>
      </c>
      <c r="U5" s="78">
        <v>0</v>
      </c>
    </row>
    <row r="6" spans="1:21">
      <c r="A6" s="103" t="s">
        <v>428</v>
      </c>
      <c r="B6" s="104">
        <v>1067.1500000000001</v>
      </c>
      <c r="C6" s="104">
        <f>182.5+1956.65</f>
        <v>2139.15</v>
      </c>
      <c r="D6" s="104">
        <v>2052.08</v>
      </c>
      <c r="E6" s="101">
        <v>987.44</v>
      </c>
      <c r="F6" s="104">
        <v>1274.19</v>
      </c>
      <c r="G6" s="140">
        <v>1500</v>
      </c>
      <c r="H6" s="140">
        <v>1600</v>
      </c>
      <c r="I6" s="140">
        <v>1700</v>
      </c>
      <c r="J6" s="140">
        <v>2000</v>
      </c>
      <c r="K6" s="140">
        <v>2100</v>
      </c>
      <c r="M6" s="72" t="s">
        <v>509</v>
      </c>
      <c r="N6" s="72" t="str">
        <f>'Income Statement '!D32</f>
        <v>-</v>
      </c>
      <c r="O6" s="72">
        <f>'Income Statement '!E32</f>
        <v>-316.49</v>
      </c>
      <c r="P6" s="72">
        <f>'Income Statement '!F32</f>
        <v>-78.47</v>
      </c>
      <c r="Q6" s="78">
        <f>'Income Statement '!G32</f>
        <v>-74.099924363546464</v>
      </c>
      <c r="R6" s="78">
        <f>'Income Statement '!H32</f>
        <v>-89.347213742417139</v>
      </c>
      <c r="S6" s="78">
        <f>'Income Statement '!I32</f>
        <v>-100.13912690634466</v>
      </c>
      <c r="T6" s="78">
        <f>'Income Statement '!J32</f>
        <v>-112.25962488823116</v>
      </c>
      <c r="U6" s="78">
        <f>'Income Statement '!K32</f>
        <v>-125.87432205752803</v>
      </c>
    </row>
    <row r="7" spans="1:21">
      <c r="A7" s="105" t="s">
        <v>429</v>
      </c>
      <c r="B7" s="106">
        <v>208.23</v>
      </c>
      <c r="C7" s="106">
        <v>178.7</v>
      </c>
      <c r="D7" s="106">
        <v>314.52</v>
      </c>
      <c r="E7" s="106">
        <v>372.18</v>
      </c>
      <c r="F7" s="106">
        <v>288.05</v>
      </c>
      <c r="G7" s="141">
        <f>AVERAGE(B7:F7)</f>
        <v>272.33599999999996</v>
      </c>
      <c r="H7" s="142">
        <f t="shared" ref="H7:K7" si="2">AVERAGE(C7:G7)</f>
        <v>285.15719999999999</v>
      </c>
      <c r="I7" s="142">
        <f t="shared" si="2"/>
        <v>306.44863999999995</v>
      </c>
      <c r="J7" s="142">
        <f t="shared" si="2"/>
        <v>304.83436799999998</v>
      </c>
      <c r="K7" s="142">
        <f t="shared" si="2"/>
        <v>291.36524159999999</v>
      </c>
      <c r="M7" s="72" t="s">
        <v>510</v>
      </c>
      <c r="N7" s="72">
        <f>'Income Statement '!D33</f>
        <v>984.91</v>
      </c>
      <c r="O7" s="72">
        <f>'Income Statement '!E33</f>
        <v>310.89999999999998</v>
      </c>
      <c r="P7" s="72">
        <f>'Income Statement '!F33</f>
        <v>185.34</v>
      </c>
      <c r="Q7" s="78">
        <f>'Income Statement '!G33</f>
        <v>175.01822328966105</v>
      </c>
      <c r="R7" s="78">
        <f>'Income Statement '!H33</f>
        <v>211.03112775607994</v>
      </c>
      <c r="S7" s="78">
        <f>'Income Statement '!I33</f>
        <v>236.52078222023599</v>
      </c>
      <c r="T7" s="78">
        <f>'Income Statement '!J33</f>
        <v>265.14845006734754</v>
      </c>
      <c r="U7" s="78">
        <f>'Income Statement '!K33</f>
        <v>297.30529947932007</v>
      </c>
    </row>
    <row r="8" spans="1:21" s="75" customFormat="1">
      <c r="A8" s="102" t="s">
        <v>430</v>
      </c>
      <c r="B8" s="108">
        <f t="shared" ref="B8:K8" si="3">B5+B6-B7</f>
        <v>4468.3200000000006</v>
      </c>
      <c r="C8" s="108">
        <f t="shared" si="3"/>
        <v>6428.7700000000013</v>
      </c>
      <c r="D8" s="108">
        <f t="shared" si="3"/>
        <v>8166.3300000000017</v>
      </c>
      <c r="E8" s="108">
        <f t="shared" si="3"/>
        <v>8781.590000000002</v>
      </c>
      <c r="F8" s="108">
        <f t="shared" si="3"/>
        <v>9767.7300000000032</v>
      </c>
      <c r="G8" s="143">
        <f t="shared" si="3"/>
        <v>10995.394000000004</v>
      </c>
      <c r="H8" s="143">
        <f t="shared" si="3"/>
        <v>12310.236800000004</v>
      </c>
      <c r="I8" s="143">
        <f t="shared" si="3"/>
        <v>13703.788160000004</v>
      </c>
      <c r="J8" s="143">
        <f t="shared" si="3"/>
        <v>15398.953792000004</v>
      </c>
      <c r="K8" s="143">
        <f t="shared" si="3"/>
        <v>17207.588550400003</v>
      </c>
      <c r="M8" s="72"/>
      <c r="N8" s="72">
        <f>SUM(N4:N7)</f>
        <v>984.91</v>
      </c>
      <c r="O8" s="72">
        <f>SUM(O4:O7)</f>
        <v>1322.7399999999998</v>
      </c>
      <c r="P8" s="72">
        <f>SUM(P4:P7)</f>
        <v>766.80999999999983</v>
      </c>
      <c r="Q8" s="78">
        <f>SUM(Q4:Q7)</f>
        <v>867.72829892611435</v>
      </c>
      <c r="R8" s="78">
        <f>SUM(R4:R7)</f>
        <v>989.41221293977719</v>
      </c>
      <c r="S8" s="78">
        <f>SUM(S4:S7)</f>
        <v>1125.7938682536685</v>
      </c>
      <c r="T8" s="78">
        <f>SUM(T4:T7)</f>
        <v>1278.6826934327848</v>
      </c>
      <c r="U8" s="78">
        <f>SUM(U4:U7)</f>
        <v>1450.1136708545769</v>
      </c>
    </row>
    <row r="9" spans="1:21">
      <c r="A9" s="109"/>
      <c r="B9" s="101"/>
      <c r="C9" s="101"/>
      <c r="D9" s="104"/>
      <c r="E9" s="104"/>
      <c r="F9" s="104"/>
      <c r="G9" s="139"/>
      <c r="H9" s="139"/>
      <c r="I9" s="139"/>
      <c r="J9" s="139"/>
      <c r="K9" s="139"/>
    </row>
    <row r="10" spans="1:21">
      <c r="A10" s="100" t="s">
        <v>431</v>
      </c>
      <c r="B10" s="101"/>
      <c r="C10" s="101"/>
      <c r="D10" s="101"/>
      <c r="E10" s="101"/>
      <c r="F10" s="101"/>
      <c r="G10" s="139"/>
      <c r="H10" s="139"/>
      <c r="I10" s="139"/>
      <c r="J10" s="139"/>
      <c r="K10" s="139"/>
    </row>
    <row r="11" spans="1:21">
      <c r="A11" s="109"/>
      <c r="B11" s="101"/>
      <c r="C11" s="101"/>
      <c r="D11" s="101"/>
      <c r="E11" s="101"/>
      <c r="F11" s="101"/>
      <c r="G11" s="139"/>
      <c r="H11" s="139"/>
      <c r="I11" s="139"/>
      <c r="J11" s="139"/>
      <c r="K11" s="139"/>
    </row>
    <row r="12" spans="1:21">
      <c r="A12" s="103" t="s">
        <v>427</v>
      </c>
      <c r="B12" s="104">
        <v>2403.27</v>
      </c>
      <c r="C12" s="104">
        <f t="shared" ref="C12:K12" si="4">B15</f>
        <v>2571.3199999999997</v>
      </c>
      <c r="D12" s="104">
        <f t="shared" si="4"/>
        <v>2959.0499999999997</v>
      </c>
      <c r="E12" s="104">
        <f t="shared" si="4"/>
        <v>3469.38</v>
      </c>
      <c r="F12" s="104">
        <f t="shared" si="4"/>
        <v>4104.55</v>
      </c>
      <c r="G12" s="140">
        <f t="shared" si="4"/>
        <v>4925.33</v>
      </c>
      <c r="H12" s="140">
        <f t="shared" si="4"/>
        <v>5744.9433250000002</v>
      </c>
      <c r="I12" s="140">
        <f t="shared" si="4"/>
        <v>6675.9324100000003</v>
      </c>
      <c r="J12" s="140">
        <f t="shared" si="4"/>
        <v>7726.6021220000002</v>
      </c>
      <c r="K12" s="140">
        <f t="shared" si="4"/>
        <v>8937.0869364000009</v>
      </c>
    </row>
    <row r="13" spans="1:21">
      <c r="A13" s="103" t="s">
        <v>431</v>
      </c>
      <c r="B13" s="101">
        <v>328.58</v>
      </c>
      <c r="C13" s="101">
        <f>497.69 +67</f>
        <v>564.69000000000005</v>
      </c>
      <c r="D13" s="101">
        <f>807.2+9.39</f>
        <v>816.59</v>
      </c>
      <c r="E13" s="101">
        <v>996.34</v>
      </c>
      <c r="F13" s="104">
        <v>1108.1300000000001</v>
      </c>
      <c r="G13" s="144">
        <f>G19*G20</f>
        <v>1078.0673250000002</v>
      </c>
      <c r="H13" s="144">
        <f>H19*H20</f>
        <v>1209.0278850000004</v>
      </c>
      <c r="I13" s="144">
        <f>I19*I20</f>
        <v>1348.9242720000004</v>
      </c>
      <c r="J13" s="144">
        <f>J19*J20</f>
        <v>1507.1382864000002</v>
      </c>
      <c r="K13" s="144">
        <f>K19*K20</f>
        <v>1686.0177636800004</v>
      </c>
    </row>
    <row r="14" spans="1:21">
      <c r="A14" s="105" t="s">
        <v>432</v>
      </c>
      <c r="B14" s="106">
        <v>160.53</v>
      </c>
      <c r="C14" s="106">
        <v>176.96</v>
      </c>
      <c r="D14" s="106">
        <v>306.26</v>
      </c>
      <c r="E14" s="106">
        <v>361.17</v>
      </c>
      <c r="F14" s="106">
        <v>287.35000000000002</v>
      </c>
      <c r="G14" s="142">
        <f>AVERAGE(B14:F14)</f>
        <v>258.45400000000001</v>
      </c>
      <c r="H14" s="142">
        <f t="shared" ref="H14:K14" si="5">AVERAGE(C14:G14)</f>
        <v>278.03880000000004</v>
      </c>
      <c r="I14" s="142">
        <f t="shared" si="5"/>
        <v>298.25456000000003</v>
      </c>
      <c r="J14" s="142">
        <f t="shared" si="5"/>
        <v>296.65347200000002</v>
      </c>
      <c r="K14" s="142">
        <f t="shared" si="5"/>
        <v>283.75016640000001</v>
      </c>
    </row>
    <row r="15" spans="1:21" s="75" customFormat="1">
      <c r="A15" s="102" t="s">
        <v>430</v>
      </c>
      <c r="B15" s="108">
        <f t="shared" ref="B15:K15" si="6">B12+B13-B14</f>
        <v>2571.3199999999997</v>
      </c>
      <c r="C15" s="108">
        <f t="shared" si="6"/>
        <v>2959.0499999999997</v>
      </c>
      <c r="D15" s="108">
        <f t="shared" si="6"/>
        <v>3469.38</v>
      </c>
      <c r="E15" s="108">
        <f t="shared" si="6"/>
        <v>4104.55</v>
      </c>
      <c r="F15" s="108">
        <f t="shared" si="6"/>
        <v>4925.33</v>
      </c>
      <c r="G15" s="143">
        <f t="shared" si="6"/>
        <v>5744.9433250000002</v>
      </c>
      <c r="H15" s="143">
        <f t="shared" si="6"/>
        <v>6675.9324100000003</v>
      </c>
      <c r="I15" s="143">
        <f t="shared" si="6"/>
        <v>7726.6021220000002</v>
      </c>
      <c r="J15" s="143">
        <f t="shared" si="6"/>
        <v>8937.0869364000009</v>
      </c>
      <c r="K15" s="143">
        <f t="shared" si="6"/>
        <v>10339.354533680002</v>
      </c>
    </row>
    <row r="16" spans="1:21">
      <c r="A16" s="109"/>
      <c r="B16" s="101"/>
      <c r="C16" s="101"/>
      <c r="D16" s="101"/>
      <c r="E16" s="101"/>
      <c r="F16" s="101"/>
      <c r="G16" s="139"/>
      <c r="H16" s="139"/>
      <c r="I16" s="139"/>
      <c r="J16" s="139"/>
      <c r="K16" s="139"/>
    </row>
    <row r="17" spans="1:11" s="75" customFormat="1">
      <c r="A17" s="110" t="s">
        <v>433</v>
      </c>
      <c r="B17" s="111">
        <f>B8-B15</f>
        <v>1897.0000000000009</v>
      </c>
      <c r="C17" s="111">
        <f t="shared" ref="C17:K17" si="7">C8-C15</f>
        <v>3469.7200000000016</v>
      </c>
      <c r="D17" s="111">
        <f t="shared" si="7"/>
        <v>4696.9500000000016</v>
      </c>
      <c r="E17" s="111">
        <f t="shared" si="7"/>
        <v>4677.0400000000018</v>
      </c>
      <c r="F17" s="111">
        <f t="shared" si="7"/>
        <v>4842.4000000000033</v>
      </c>
      <c r="G17" s="145">
        <f t="shared" si="7"/>
        <v>5250.4506750000037</v>
      </c>
      <c r="H17" s="145">
        <f t="shared" si="7"/>
        <v>5634.3043900000039</v>
      </c>
      <c r="I17" s="145">
        <f t="shared" si="7"/>
        <v>5977.1860380000035</v>
      </c>
      <c r="J17" s="145">
        <f t="shared" si="7"/>
        <v>6461.866855600003</v>
      </c>
      <c r="K17" s="145">
        <f t="shared" si="7"/>
        <v>6868.2340167200018</v>
      </c>
    </row>
    <row r="18" spans="1:11">
      <c r="A18" s="89"/>
      <c r="B18" s="129"/>
      <c r="C18" s="129"/>
      <c r="D18" s="129"/>
      <c r="E18" s="128"/>
      <c r="F18" s="129"/>
      <c r="G18" s="239"/>
      <c r="H18" s="239"/>
      <c r="I18" s="239"/>
      <c r="J18" s="239"/>
      <c r="K18" s="139"/>
    </row>
    <row r="19" spans="1:11">
      <c r="A19" s="89" t="s">
        <v>436</v>
      </c>
      <c r="B19" s="101">
        <f t="shared" ref="B19:K19" si="8">B5+(B6/2)</f>
        <v>4142.9750000000004</v>
      </c>
      <c r="C19" s="101">
        <f t="shared" si="8"/>
        <v>5537.8950000000004</v>
      </c>
      <c r="D19" s="101">
        <f t="shared" si="8"/>
        <v>7454.8100000000013</v>
      </c>
      <c r="E19" s="109">
        <f t="shared" si="8"/>
        <v>8660.0500000000011</v>
      </c>
      <c r="F19" s="101">
        <f t="shared" si="8"/>
        <v>9418.6850000000013</v>
      </c>
      <c r="G19" s="139">
        <f t="shared" si="8"/>
        <v>10517.730000000003</v>
      </c>
      <c r="H19" s="139">
        <f t="shared" si="8"/>
        <v>11795.394000000004</v>
      </c>
      <c r="I19" s="139">
        <f t="shared" si="8"/>
        <v>13160.236800000004</v>
      </c>
      <c r="J19" s="139">
        <f t="shared" si="8"/>
        <v>14703.788160000004</v>
      </c>
      <c r="K19" s="139">
        <f t="shared" si="8"/>
        <v>16448.953792000004</v>
      </c>
    </row>
    <row r="20" spans="1:11">
      <c r="A20" s="89" t="s">
        <v>434</v>
      </c>
      <c r="B20" s="132">
        <f>B13/B19</f>
        <v>7.9310157555862626E-2</v>
      </c>
      <c r="C20" s="132">
        <f>C13/C19</f>
        <v>0.10196834717884684</v>
      </c>
      <c r="D20" s="132">
        <f>D13/D19</f>
        <v>0.10953867368853128</v>
      </c>
      <c r="E20" s="241">
        <f>E13/E19</f>
        <v>0.11505014405228606</v>
      </c>
      <c r="F20" s="132">
        <f>F13/F19</f>
        <v>0.11765230496613911</v>
      </c>
      <c r="G20" s="150">
        <v>0.10249999999999999</v>
      </c>
      <c r="H20" s="150">
        <v>0.10249999999999999</v>
      </c>
      <c r="I20" s="150">
        <v>0.10249999999999999</v>
      </c>
      <c r="J20" s="150">
        <v>0.10249999999999999</v>
      </c>
      <c r="K20" s="150">
        <v>0.10249999999999999</v>
      </c>
    </row>
    <row r="21" spans="1:11">
      <c r="A21" s="89"/>
      <c r="B21" s="101"/>
      <c r="C21" s="101"/>
      <c r="D21" s="101"/>
      <c r="E21" s="109"/>
      <c r="F21" s="101"/>
      <c r="G21" s="139"/>
      <c r="H21" s="139"/>
      <c r="I21" s="139"/>
      <c r="J21" s="139"/>
      <c r="K21" s="139"/>
    </row>
    <row r="22" spans="1:11">
      <c r="A22" s="138" t="s">
        <v>437</v>
      </c>
      <c r="B22" s="138"/>
      <c r="C22" s="138"/>
      <c r="D22" s="138"/>
      <c r="E22" s="138"/>
      <c r="F22" s="138"/>
      <c r="G22" s="138"/>
      <c r="H22" s="138"/>
      <c r="I22" s="138"/>
      <c r="J22" s="138"/>
      <c r="K22" s="154"/>
    </row>
    <row r="23" spans="1:11">
      <c r="A23" s="100" t="s">
        <v>435</v>
      </c>
      <c r="B23" s="101"/>
      <c r="C23" s="101"/>
      <c r="D23" s="101"/>
      <c r="E23" s="101"/>
      <c r="F23" s="101"/>
      <c r="G23" s="139"/>
      <c r="H23" s="139"/>
      <c r="I23" s="139"/>
      <c r="J23" s="139"/>
      <c r="K23" s="139"/>
    </row>
    <row r="24" spans="1:11">
      <c r="A24" s="102"/>
      <c r="B24" s="101"/>
      <c r="C24" s="101"/>
      <c r="D24" s="101"/>
      <c r="E24" s="101"/>
      <c r="F24" s="101"/>
      <c r="G24" s="139"/>
      <c r="H24" s="139"/>
      <c r="I24" s="139"/>
      <c r="J24" s="139"/>
      <c r="K24" s="139"/>
    </row>
    <row r="25" spans="1:11">
      <c r="A25" s="103" t="s">
        <v>427</v>
      </c>
      <c r="B25" s="104">
        <v>508.37</v>
      </c>
      <c r="C25" s="104">
        <f t="shared" ref="C25:K25" si="9">B28</f>
        <v>598.94000000000005</v>
      </c>
      <c r="D25" s="104">
        <f t="shared" si="9"/>
        <v>668.76</v>
      </c>
      <c r="E25" s="104">
        <f t="shared" si="9"/>
        <v>696.36999999999989</v>
      </c>
      <c r="F25" s="104">
        <f t="shared" si="9"/>
        <v>724.31999999999994</v>
      </c>
      <c r="G25" s="140">
        <f t="shared" si="9"/>
        <v>749.69999999999993</v>
      </c>
      <c r="H25" s="140">
        <f t="shared" si="9"/>
        <v>794.69999999999993</v>
      </c>
      <c r="I25" s="140">
        <f t="shared" si="9"/>
        <v>839.69999999999993</v>
      </c>
      <c r="J25" s="140">
        <f t="shared" si="9"/>
        <v>884.69999999999993</v>
      </c>
      <c r="K25" s="140">
        <f t="shared" si="9"/>
        <v>929.69999999999993</v>
      </c>
    </row>
    <row r="26" spans="1:11">
      <c r="A26" s="103" t="s">
        <v>428</v>
      </c>
      <c r="B26" s="104">
        <v>90.57</v>
      </c>
      <c r="C26" s="104">
        <f>21.72+48.1</f>
        <v>69.819999999999993</v>
      </c>
      <c r="D26" s="104">
        <v>27.93</v>
      </c>
      <c r="E26" s="101">
        <v>27.99</v>
      </c>
      <c r="F26" s="104">
        <v>25.38</v>
      </c>
      <c r="G26" s="140">
        <v>45</v>
      </c>
      <c r="H26" s="140">
        <v>45</v>
      </c>
      <c r="I26" s="140">
        <v>45</v>
      </c>
      <c r="J26" s="140">
        <v>45</v>
      </c>
      <c r="K26" s="140">
        <v>45</v>
      </c>
    </row>
    <row r="27" spans="1:11">
      <c r="A27" s="105" t="s">
        <v>429</v>
      </c>
      <c r="B27" s="106">
        <v>0</v>
      </c>
      <c r="C27" s="106">
        <v>0</v>
      </c>
      <c r="D27" s="106">
        <v>0.32</v>
      </c>
      <c r="E27" s="106">
        <v>0.04</v>
      </c>
      <c r="F27" s="106">
        <v>0</v>
      </c>
      <c r="G27" s="141">
        <v>0</v>
      </c>
      <c r="H27" s="141">
        <v>0</v>
      </c>
      <c r="I27" s="141">
        <v>0</v>
      </c>
      <c r="J27" s="141">
        <v>0</v>
      </c>
      <c r="K27" s="141">
        <v>0</v>
      </c>
    </row>
    <row r="28" spans="1:11" s="75" customFormat="1">
      <c r="A28" s="102" t="s">
        <v>430</v>
      </c>
      <c r="B28" s="108">
        <f>B25+B26-B27</f>
        <v>598.94000000000005</v>
      </c>
      <c r="C28" s="108">
        <f>C25+C26-C27</f>
        <v>668.76</v>
      </c>
      <c r="D28" s="108">
        <f>D25+D26-D27</f>
        <v>696.36999999999989</v>
      </c>
      <c r="E28" s="108">
        <f>E25+E26-E27</f>
        <v>724.31999999999994</v>
      </c>
      <c r="F28" s="108">
        <f t="shared" ref="F28:K28" si="10">F25+F26-F27</f>
        <v>749.69999999999993</v>
      </c>
      <c r="G28" s="143">
        <f t="shared" si="10"/>
        <v>794.69999999999993</v>
      </c>
      <c r="H28" s="143">
        <f t="shared" si="10"/>
        <v>839.69999999999993</v>
      </c>
      <c r="I28" s="143">
        <f t="shared" si="10"/>
        <v>884.69999999999993</v>
      </c>
      <c r="J28" s="143">
        <f t="shared" si="10"/>
        <v>929.69999999999993</v>
      </c>
      <c r="K28" s="143">
        <f t="shared" si="10"/>
        <v>974.69999999999993</v>
      </c>
    </row>
    <row r="29" spans="1:11">
      <c r="A29" s="109"/>
      <c r="B29" s="101"/>
      <c r="C29" s="101"/>
      <c r="D29" s="104"/>
      <c r="E29" s="104"/>
      <c r="F29" s="104"/>
      <c r="G29" s="139"/>
      <c r="H29" s="139"/>
      <c r="I29" s="139"/>
      <c r="J29" s="139"/>
      <c r="K29" s="139"/>
    </row>
    <row r="30" spans="1:11">
      <c r="A30" s="112" t="s">
        <v>438</v>
      </c>
      <c r="B30" s="101"/>
      <c r="C30" s="101"/>
      <c r="D30" s="101"/>
      <c r="E30" s="101"/>
      <c r="F30" s="101"/>
      <c r="G30" s="139"/>
      <c r="H30" s="139"/>
      <c r="I30" s="139"/>
      <c r="J30" s="139"/>
      <c r="K30" s="139"/>
    </row>
    <row r="31" spans="1:11">
      <c r="A31" s="109"/>
      <c r="B31" s="101"/>
      <c r="C31" s="101"/>
      <c r="D31" s="101"/>
      <c r="E31" s="101"/>
      <c r="F31" s="101"/>
      <c r="G31" s="139"/>
      <c r="H31" s="139"/>
      <c r="I31" s="139"/>
      <c r="J31" s="139"/>
      <c r="K31" s="139"/>
    </row>
    <row r="32" spans="1:11">
      <c r="A32" s="103" t="s">
        <v>427</v>
      </c>
      <c r="B32" s="104">
        <v>325.01</v>
      </c>
      <c r="C32" s="104">
        <f>B35</f>
        <v>409.4</v>
      </c>
      <c r="D32" s="104">
        <f t="shared" ref="D32:K32" si="11">C35</f>
        <v>495.67999999999995</v>
      </c>
      <c r="E32" s="104">
        <f t="shared" si="11"/>
        <v>587.2299999999999</v>
      </c>
      <c r="F32" s="104">
        <f t="shared" si="11"/>
        <v>660.93</v>
      </c>
      <c r="G32" s="140">
        <f t="shared" si="11"/>
        <v>703.3</v>
      </c>
      <c r="H32" s="140">
        <f t="shared" si="11"/>
        <v>749.63199999999995</v>
      </c>
      <c r="I32" s="140">
        <f t="shared" si="11"/>
        <v>798.66399999999999</v>
      </c>
      <c r="J32" s="140">
        <f t="shared" si="11"/>
        <v>850.39599999999996</v>
      </c>
      <c r="K32" s="140">
        <f t="shared" si="11"/>
        <v>904.82799999999997</v>
      </c>
    </row>
    <row r="33" spans="1:11">
      <c r="A33" s="103" t="s">
        <v>438</v>
      </c>
      <c r="B33" s="101">
        <v>84.39</v>
      </c>
      <c r="C33" s="101">
        <f>82.88+3.4</f>
        <v>86.28</v>
      </c>
      <c r="D33" s="101">
        <v>91.87</v>
      </c>
      <c r="E33" s="101">
        <v>73.739999999999995</v>
      </c>
      <c r="F33" s="104">
        <v>42.37</v>
      </c>
      <c r="G33" s="146">
        <f>G39*G40</f>
        <v>46.331999999999994</v>
      </c>
      <c r="H33" s="146">
        <f>H39*H40</f>
        <v>49.031999999999996</v>
      </c>
      <c r="I33" s="146">
        <f>I39*I40</f>
        <v>51.731999999999992</v>
      </c>
      <c r="J33" s="146">
        <f>J39*J40</f>
        <v>54.431999999999995</v>
      </c>
      <c r="K33" s="146">
        <f>K39*K40</f>
        <v>57.131999999999991</v>
      </c>
    </row>
    <row r="34" spans="1:11">
      <c r="A34" s="105" t="s">
        <v>432</v>
      </c>
      <c r="B34" s="106">
        <v>0</v>
      </c>
      <c r="C34" s="106"/>
      <c r="D34" s="106">
        <v>0.32</v>
      </c>
      <c r="E34" s="106">
        <v>0.04</v>
      </c>
      <c r="F34" s="106">
        <v>0</v>
      </c>
      <c r="G34" s="141">
        <v>0</v>
      </c>
      <c r="H34" s="141">
        <v>0</v>
      </c>
      <c r="I34" s="141">
        <v>0</v>
      </c>
      <c r="J34" s="141">
        <v>0</v>
      </c>
      <c r="K34" s="141">
        <v>0</v>
      </c>
    </row>
    <row r="35" spans="1:11" s="75" customFormat="1">
      <c r="A35" s="102" t="s">
        <v>430</v>
      </c>
      <c r="B35" s="108">
        <f>B32+B33-B34</f>
        <v>409.4</v>
      </c>
      <c r="C35" s="108">
        <f t="shared" ref="C35:K35" si="12">C32+C33-C34</f>
        <v>495.67999999999995</v>
      </c>
      <c r="D35" s="108">
        <f t="shared" si="12"/>
        <v>587.2299999999999</v>
      </c>
      <c r="E35" s="108">
        <f t="shared" si="12"/>
        <v>660.93</v>
      </c>
      <c r="F35" s="108">
        <f t="shared" si="12"/>
        <v>703.3</v>
      </c>
      <c r="G35" s="143">
        <f t="shared" si="12"/>
        <v>749.63199999999995</v>
      </c>
      <c r="H35" s="143">
        <f t="shared" si="12"/>
        <v>798.66399999999999</v>
      </c>
      <c r="I35" s="143">
        <f t="shared" si="12"/>
        <v>850.39599999999996</v>
      </c>
      <c r="J35" s="143">
        <f t="shared" si="12"/>
        <v>904.82799999999997</v>
      </c>
      <c r="K35" s="143">
        <f t="shared" si="12"/>
        <v>961.95999999999992</v>
      </c>
    </row>
    <row r="36" spans="1:11">
      <c r="A36" s="109"/>
      <c r="B36" s="101"/>
      <c r="C36" s="101"/>
      <c r="D36" s="101"/>
      <c r="E36" s="101"/>
      <c r="F36" s="101"/>
      <c r="G36" s="139"/>
      <c r="H36" s="139"/>
      <c r="I36" s="139"/>
      <c r="J36" s="139"/>
      <c r="K36" s="139"/>
    </row>
    <row r="37" spans="1:11" s="75" customFormat="1">
      <c r="A37" s="110" t="s">
        <v>433</v>
      </c>
      <c r="B37" s="111">
        <f>B28-B35</f>
        <v>189.54000000000008</v>
      </c>
      <c r="C37" s="111">
        <f t="shared" ref="C37:K37" si="13">C28-C35</f>
        <v>173.08000000000004</v>
      </c>
      <c r="D37" s="111">
        <f t="shared" si="13"/>
        <v>109.13999999999999</v>
      </c>
      <c r="E37" s="111">
        <f t="shared" si="13"/>
        <v>63.389999999999986</v>
      </c>
      <c r="F37" s="111">
        <f t="shared" si="13"/>
        <v>46.399999999999977</v>
      </c>
      <c r="G37" s="147">
        <f t="shared" si="13"/>
        <v>45.067999999999984</v>
      </c>
      <c r="H37" s="147">
        <f t="shared" si="13"/>
        <v>41.035999999999945</v>
      </c>
      <c r="I37" s="147">
        <f t="shared" si="13"/>
        <v>34.303999999999974</v>
      </c>
      <c r="J37" s="147">
        <f t="shared" si="13"/>
        <v>24.871999999999957</v>
      </c>
      <c r="K37" s="147">
        <f t="shared" si="13"/>
        <v>12.740000000000009</v>
      </c>
    </row>
    <row r="38" spans="1:11">
      <c r="A38" s="89"/>
      <c r="B38" s="129"/>
      <c r="C38" s="129"/>
      <c r="D38" s="80"/>
      <c r="E38" s="129"/>
      <c r="F38" s="129"/>
      <c r="G38" s="239"/>
      <c r="H38" s="239"/>
      <c r="I38" s="239"/>
      <c r="J38" s="239"/>
      <c r="K38" s="239"/>
    </row>
    <row r="39" spans="1:11" hidden="1">
      <c r="A39" s="89"/>
      <c r="B39" s="101">
        <f>B25+(B26/2)</f>
        <v>553.65499999999997</v>
      </c>
      <c r="C39" s="101">
        <f t="shared" ref="C39:K39" si="14">C25+(C26/2)</f>
        <v>633.85</v>
      </c>
      <c r="D39" s="89">
        <f t="shared" si="14"/>
        <v>682.72500000000002</v>
      </c>
      <c r="E39" s="101">
        <f t="shared" si="14"/>
        <v>710.3649999999999</v>
      </c>
      <c r="F39" s="101">
        <f t="shared" si="14"/>
        <v>737.01</v>
      </c>
      <c r="G39" s="139">
        <f t="shared" si="14"/>
        <v>772.19999999999993</v>
      </c>
      <c r="H39" s="139">
        <f t="shared" si="14"/>
        <v>817.19999999999993</v>
      </c>
      <c r="I39" s="139">
        <f t="shared" si="14"/>
        <v>862.19999999999993</v>
      </c>
      <c r="J39" s="139">
        <f t="shared" si="14"/>
        <v>907.19999999999993</v>
      </c>
      <c r="K39" s="139">
        <f t="shared" si="14"/>
        <v>952.19999999999993</v>
      </c>
    </row>
    <row r="40" spans="1:11">
      <c r="A40" s="89" t="s">
        <v>438</v>
      </c>
      <c r="B40" s="132">
        <f>B33/B39</f>
        <v>0.15242344059025928</v>
      </c>
      <c r="C40" s="132">
        <f>C33/C39</f>
        <v>0.13612053324919143</v>
      </c>
      <c r="D40" s="156">
        <f>D33/D39</f>
        <v>0.13456369694972353</v>
      </c>
      <c r="E40" s="132">
        <f>E33/E39</f>
        <v>0.10380578998120685</v>
      </c>
      <c r="F40" s="132">
        <f>F33/F39</f>
        <v>5.7489043567929873E-2</v>
      </c>
      <c r="G40" s="150">
        <v>0.06</v>
      </c>
      <c r="H40" s="150">
        <v>0.06</v>
      </c>
      <c r="I40" s="150">
        <v>0.06</v>
      </c>
      <c r="J40" s="150">
        <v>0.06</v>
      </c>
      <c r="K40" s="150">
        <v>0.06</v>
      </c>
    </row>
    <row r="41" spans="1:11">
      <c r="A41" s="89"/>
      <c r="B41" s="101"/>
      <c r="C41" s="101"/>
      <c r="D41" s="89"/>
      <c r="E41" s="101"/>
      <c r="F41" s="101"/>
      <c r="G41" s="139"/>
      <c r="H41" s="139"/>
      <c r="I41" s="139"/>
      <c r="J41" s="139"/>
      <c r="K41" s="139"/>
    </row>
    <row r="42" spans="1:11">
      <c r="A42" s="138" t="s">
        <v>439</v>
      </c>
      <c r="B42" s="138"/>
      <c r="C42" s="138"/>
      <c r="D42" s="138"/>
      <c r="E42" s="138"/>
      <c r="F42" s="138"/>
      <c r="G42" s="138"/>
      <c r="H42" s="138"/>
      <c r="I42" s="138"/>
      <c r="J42" s="138"/>
      <c r="K42" s="154"/>
    </row>
    <row r="43" spans="1:11">
      <c r="A43" s="114" t="s">
        <v>435</v>
      </c>
      <c r="B43" s="101"/>
      <c r="C43" s="109"/>
      <c r="D43" s="115"/>
      <c r="E43" s="109"/>
      <c r="F43" s="101"/>
      <c r="G43" s="139"/>
      <c r="H43" s="139"/>
      <c r="I43" s="139"/>
      <c r="J43" s="139"/>
      <c r="K43" s="139"/>
    </row>
    <row r="44" spans="1:11">
      <c r="A44" s="116"/>
      <c r="B44" s="101"/>
      <c r="C44" s="109"/>
      <c r="D44" s="115"/>
      <c r="E44" s="109"/>
      <c r="F44" s="101"/>
      <c r="G44" s="139"/>
      <c r="H44" s="139"/>
      <c r="I44" s="139"/>
      <c r="J44" s="139"/>
      <c r="K44" s="139"/>
    </row>
    <row r="45" spans="1:11">
      <c r="A45" s="117" t="s">
        <v>427</v>
      </c>
      <c r="B45" s="104">
        <v>1047.02</v>
      </c>
      <c r="C45" s="118">
        <f t="shared" ref="C45:K45" si="15">B48</f>
        <v>1589.2800000000002</v>
      </c>
      <c r="D45" s="119">
        <f t="shared" si="15"/>
        <v>2357.8200000000002</v>
      </c>
      <c r="E45" s="118">
        <f t="shared" si="15"/>
        <v>2750.02</v>
      </c>
      <c r="F45" s="104">
        <f t="shared" si="15"/>
        <v>2811.22</v>
      </c>
      <c r="G45" s="140">
        <f t="shared" si="15"/>
        <v>3149.8399999999997</v>
      </c>
      <c r="H45" s="140">
        <f t="shared" si="15"/>
        <v>3569.6939999999995</v>
      </c>
      <c r="I45" s="140">
        <f t="shared" si="15"/>
        <v>3967.1467999999995</v>
      </c>
      <c r="J45" s="140">
        <f t="shared" si="15"/>
        <v>4366.1481599999997</v>
      </c>
      <c r="K45" s="140">
        <f t="shared" si="15"/>
        <v>4759.5837919999994</v>
      </c>
    </row>
    <row r="46" spans="1:11">
      <c r="A46" s="117" t="s">
        <v>428</v>
      </c>
      <c r="B46" s="104">
        <v>760.4</v>
      </c>
      <c r="C46" s="118">
        <v>978.83</v>
      </c>
      <c r="D46" s="119">
        <v>565.37</v>
      </c>
      <c r="E46" s="109">
        <v>231.54</v>
      </c>
      <c r="F46" s="104">
        <v>592.41</v>
      </c>
      <c r="G46" s="140">
        <v>625</v>
      </c>
      <c r="H46" s="140">
        <v>600</v>
      </c>
      <c r="I46" s="140">
        <v>600</v>
      </c>
      <c r="J46" s="140">
        <v>600</v>
      </c>
      <c r="K46" s="140">
        <v>600</v>
      </c>
    </row>
    <row r="47" spans="1:11">
      <c r="A47" s="120" t="s">
        <v>429</v>
      </c>
      <c r="B47" s="106">
        <v>218.14</v>
      </c>
      <c r="C47" s="121">
        <v>210.29</v>
      </c>
      <c r="D47" s="122">
        <v>173.17</v>
      </c>
      <c r="E47" s="121">
        <v>170.34</v>
      </c>
      <c r="F47" s="106">
        <v>253.79</v>
      </c>
      <c r="G47" s="142">
        <f>AVERAGE(B47:F47)</f>
        <v>205.14600000000002</v>
      </c>
      <c r="H47" s="142">
        <f t="shared" ref="H47:K47" si="16">AVERAGE(C47:G47)</f>
        <v>202.54719999999998</v>
      </c>
      <c r="I47" s="142">
        <f t="shared" si="16"/>
        <v>200.99863999999997</v>
      </c>
      <c r="J47" s="142">
        <f t="shared" si="16"/>
        <v>206.564368</v>
      </c>
      <c r="K47" s="142">
        <f t="shared" si="16"/>
        <v>213.80924160000001</v>
      </c>
    </row>
    <row r="48" spans="1:11">
      <c r="A48" s="116" t="s">
        <v>430</v>
      </c>
      <c r="B48" s="108">
        <f t="shared" ref="B48:K48" si="17">B45+B46-B47</f>
        <v>1589.2800000000002</v>
      </c>
      <c r="C48" s="123">
        <f t="shared" si="17"/>
        <v>2357.8200000000002</v>
      </c>
      <c r="D48" s="124">
        <f t="shared" si="17"/>
        <v>2750.02</v>
      </c>
      <c r="E48" s="123">
        <f t="shared" si="17"/>
        <v>2811.22</v>
      </c>
      <c r="F48" s="108">
        <f t="shared" si="17"/>
        <v>3149.8399999999997</v>
      </c>
      <c r="G48" s="143">
        <f t="shared" si="17"/>
        <v>3569.6939999999995</v>
      </c>
      <c r="H48" s="143">
        <f t="shared" si="17"/>
        <v>3967.1467999999995</v>
      </c>
      <c r="I48" s="143">
        <f t="shared" si="17"/>
        <v>4366.1481599999997</v>
      </c>
      <c r="J48" s="143">
        <f t="shared" si="17"/>
        <v>4759.5837919999994</v>
      </c>
      <c r="K48" s="143">
        <f t="shared" si="17"/>
        <v>5145.7745503999995</v>
      </c>
    </row>
    <row r="49" spans="1:13">
      <c r="A49" s="101"/>
      <c r="B49" s="101"/>
      <c r="C49" s="109"/>
      <c r="D49" s="119"/>
      <c r="E49" s="118"/>
      <c r="F49" s="104"/>
      <c r="G49" s="139"/>
      <c r="H49" s="139"/>
      <c r="I49" s="139"/>
      <c r="J49" s="139"/>
      <c r="K49" s="139"/>
    </row>
    <row r="50" spans="1:13">
      <c r="A50" s="114" t="s">
        <v>431</v>
      </c>
      <c r="B50" s="101"/>
      <c r="C50" s="109"/>
      <c r="D50" s="115"/>
      <c r="E50" s="109"/>
      <c r="F50" s="101"/>
      <c r="G50" s="139"/>
      <c r="H50" s="139"/>
      <c r="I50" s="139"/>
      <c r="J50" s="139"/>
      <c r="K50" s="139"/>
    </row>
    <row r="51" spans="1:13">
      <c r="A51" s="101"/>
      <c r="B51" s="101"/>
      <c r="C51" s="109"/>
      <c r="D51" s="115"/>
      <c r="E51" s="109"/>
      <c r="F51" s="101"/>
      <c r="G51" s="139"/>
      <c r="H51" s="139"/>
      <c r="I51" s="139"/>
      <c r="J51" s="139"/>
      <c r="K51" s="139"/>
    </row>
    <row r="52" spans="1:13">
      <c r="A52" s="117" t="s">
        <v>427</v>
      </c>
      <c r="B52" s="104">
        <v>208.43</v>
      </c>
      <c r="C52" s="118">
        <f>B55</f>
        <v>378.49</v>
      </c>
      <c r="D52" s="119">
        <f t="shared" ref="D52:K52" si="18">C55</f>
        <v>557.83000000000004</v>
      </c>
      <c r="E52" s="118">
        <f t="shared" si="18"/>
        <v>923.55000000000007</v>
      </c>
      <c r="F52" s="104">
        <f t="shared" si="18"/>
        <v>1253.7</v>
      </c>
      <c r="G52" s="140">
        <f t="shared" si="18"/>
        <v>1525.9</v>
      </c>
      <c r="H52" s="140">
        <f t="shared" si="18"/>
        <v>2030.3071354667022</v>
      </c>
      <c r="I52" s="140">
        <f t="shared" si="18"/>
        <v>2526.6515800907223</v>
      </c>
      <c r="J52" s="140">
        <f t="shared" si="18"/>
        <v>3072.3002401899739</v>
      </c>
      <c r="K52" s="140">
        <f t="shared" si="18"/>
        <v>3565.8027827347091</v>
      </c>
    </row>
    <row r="53" spans="1:13">
      <c r="A53" s="117" t="s">
        <v>431</v>
      </c>
      <c r="B53" s="101">
        <v>221.58</v>
      </c>
      <c r="C53" s="109">
        <v>337.88</v>
      </c>
      <c r="D53" s="115">
        <v>419.11</v>
      </c>
      <c r="E53" s="109">
        <v>432.06</v>
      </c>
      <c r="F53" s="104">
        <v>463.82</v>
      </c>
      <c r="G53" s="146">
        <f>G60*G48</f>
        <v>554.40713546670213</v>
      </c>
      <c r="H53" s="146">
        <f>H60*H48</f>
        <v>596.34444462402018</v>
      </c>
      <c r="I53" s="146">
        <f>I60*I48</f>
        <v>645.64866009925174</v>
      </c>
      <c r="J53" s="146">
        <f>J60*J48</f>
        <v>693.50254254473509</v>
      </c>
      <c r="K53" s="146">
        <f>K60*K48</f>
        <v>744.56743738200805</v>
      </c>
    </row>
    <row r="54" spans="1:13">
      <c r="A54" s="120" t="s">
        <v>432</v>
      </c>
      <c r="B54" s="106">
        <v>51.52</v>
      </c>
      <c r="C54" s="121">
        <v>158.54</v>
      </c>
      <c r="D54" s="122">
        <v>53.39</v>
      </c>
      <c r="E54" s="121">
        <v>101.91</v>
      </c>
      <c r="F54" s="106">
        <v>191.62</v>
      </c>
      <c r="G54" s="141">
        <v>50</v>
      </c>
      <c r="H54" s="141">
        <v>100</v>
      </c>
      <c r="I54" s="141">
        <v>100</v>
      </c>
      <c r="J54" s="141">
        <v>200</v>
      </c>
      <c r="K54" s="141">
        <v>300</v>
      </c>
    </row>
    <row r="55" spans="1:13" s="75" customFormat="1">
      <c r="A55" s="116" t="s">
        <v>430</v>
      </c>
      <c r="B55" s="108">
        <f t="shared" ref="B55:K55" si="19">B52+B53-B54</f>
        <v>378.49</v>
      </c>
      <c r="C55" s="123">
        <f t="shared" si="19"/>
        <v>557.83000000000004</v>
      </c>
      <c r="D55" s="124">
        <f t="shared" si="19"/>
        <v>923.55000000000007</v>
      </c>
      <c r="E55" s="123">
        <f t="shared" si="19"/>
        <v>1253.7</v>
      </c>
      <c r="F55" s="108">
        <f t="shared" si="19"/>
        <v>1525.9</v>
      </c>
      <c r="G55" s="143">
        <f t="shared" si="19"/>
        <v>2030.3071354667022</v>
      </c>
      <c r="H55" s="143">
        <f t="shared" si="19"/>
        <v>2526.6515800907223</v>
      </c>
      <c r="I55" s="143">
        <f t="shared" si="19"/>
        <v>3072.3002401899739</v>
      </c>
      <c r="J55" s="143">
        <f t="shared" si="19"/>
        <v>3565.8027827347091</v>
      </c>
      <c r="K55" s="143">
        <f t="shared" si="19"/>
        <v>4010.3702201167171</v>
      </c>
    </row>
    <row r="56" spans="1:13">
      <c r="A56" s="101"/>
      <c r="B56" s="101"/>
      <c r="C56" s="109"/>
      <c r="D56" s="115"/>
      <c r="E56" s="109"/>
      <c r="F56" s="101"/>
      <c r="G56" s="139"/>
      <c r="H56" s="139"/>
      <c r="I56" s="139"/>
      <c r="J56" s="139"/>
      <c r="K56" s="139"/>
    </row>
    <row r="57" spans="1:13" s="75" customFormat="1">
      <c r="A57" s="125" t="s">
        <v>433</v>
      </c>
      <c r="B57" s="111">
        <f>B48-B55</f>
        <v>1210.7900000000002</v>
      </c>
      <c r="C57" s="113">
        <f t="shared" ref="C57:K57" si="20">C48-C55</f>
        <v>1799.9900000000002</v>
      </c>
      <c r="D57" s="126">
        <f t="shared" si="20"/>
        <v>1826.4699999999998</v>
      </c>
      <c r="E57" s="113">
        <f t="shared" si="20"/>
        <v>1557.5199999999998</v>
      </c>
      <c r="F57" s="111">
        <f t="shared" si="20"/>
        <v>1623.9399999999996</v>
      </c>
      <c r="G57" s="145">
        <f t="shared" si="20"/>
        <v>1539.3868645332973</v>
      </c>
      <c r="H57" s="145">
        <f t="shared" si="20"/>
        <v>1440.4952199092772</v>
      </c>
      <c r="I57" s="145">
        <f t="shared" si="20"/>
        <v>1293.8479198100258</v>
      </c>
      <c r="J57" s="145">
        <f t="shared" si="20"/>
        <v>1193.7810092652903</v>
      </c>
      <c r="K57" s="145">
        <f t="shared" si="20"/>
        <v>1135.4043302832824</v>
      </c>
    </row>
    <row r="58" spans="1:13">
      <c r="A58" s="89"/>
      <c r="B58" s="129"/>
      <c r="C58" s="80"/>
      <c r="D58" s="129"/>
      <c r="E58" s="129"/>
      <c r="F58" s="129"/>
      <c r="G58" s="239"/>
      <c r="H58" s="175"/>
      <c r="I58" s="239"/>
      <c r="J58" s="239"/>
      <c r="K58" s="239"/>
      <c r="L58" s="89"/>
      <c r="M58" s="89"/>
    </row>
    <row r="59" spans="1:13" hidden="1">
      <c r="A59" s="89"/>
      <c r="B59" s="101">
        <f>B45+(B46/2)</f>
        <v>1427.22</v>
      </c>
      <c r="C59" s="89">
        <f t="shared" ref="C59:K59" si="21">C45+(C46/2)</f>
        <v>2078.6950000000002</v>
      </c>
      <c r="D59" s="101">
        <f t="shared" si="21"/>
        <v>2640.5050000000001</v>
      </c>
      <c r="E59" s="101">
        <f t="shared" si="21"/>
        <v>2865.79</v>
      </c>
      <c r="F59" s="101">
        <f t="shared" si="21"/>
        <v>3107.4249999999997</v>
      </c>
      <c r="G59" s="139">
        <f t="shared" si="21"/>
        <v>3462.3399999999997</v>
      </c>
      <c r="H59" s="155">
        <f t="shared" si="21"/>
        <v>3869.6939999999995</v>
      </c>
      <c r="I59" s="139">
        <f t="shared" si="21"/>
        <v>4267.1467999999995</v>
      </c>
      <c r="J59" s="139">
        <f t="shared" si="21"/>
        <v>4666.1481599999997</v>
      </c>
      <c r="K59" s="139">
        <f t="shared" si="21"/>
        <v>5059.5837919999994</v>
      </c>
      <c r="L59" s="89"/>
      <c r="M59" s="89"/>
    </row>
    <row r="60" spans="1:13">
      <c r="A60" s="158" t="s">
        <v>431</v>
      </c>
      <c r="B60" s="132">
        <f>B53/B59</f>
        <v>0.15525286921427672</v>
      </c>
      <c r="C60" s="156">
        <f>C53/C59</f>
        <v>0.16254428860414827</v>
      </c>
      <c r="D60" s="132">
        <f>D53/D59</f>
        <v>0.15872342601131223</v>
      </c>
      <c r="E60" s="132">
        <f>E53/E59</f>
        <v>0.15076471060335894</v>
      </c>
      <c r="F60" s="132">
        <f>F53/F59</f>
        <v>0.149261848636733</v>
      </c>
      <c r="G60" s="150">
        <f>AVERAGE(B60:F60)</f>
        <v>0.15530942861396585</v>
      </c>
      <c r="H60" s="157">
        <f>AVERAGE(C60:G60)-0.5%</f>
        <v>0.15032074049390365</v>
      </c>
      <c r="I60" s="150">
        <f t="shared" ref="I60:K60" si="22">AVERAGE(D60:H60)-0.5%</f>
        <v>0.14787603087185475</v>
      </c>
      <c r="J60" s="150">
        <f t="shared" si="22"/>
        <v>0.14570655184396325</v>
      </c>
      <c r="K60" s="150">
        <f t="shared" si="22"/>
        <v>0.14469492009208412</v>
      </c>
      <c r="L60" s="89"/>
      <c r="M60" s="89"/>
    </row>
    <row r="61" spans="1:13">
      <c r="A61" s="89"/>
      <c r="B61" s="101"/>
      <c r="C61" s="89"/>
      <c r="D61" s="101"/>
      <c r="E61" s="101"/>
      <c r="F61" s="101"/>
      <c r="G61" s="139"/>
      <c r="H61" s="155"/>
      <c r="I61" s="139"/>
      <c r="J61" s="139"/>
      <c r="K61" s="139"/>
      <c r="L61" s="89"/>
      <c r="M61" s="89"/>
    </row>
    <row r="62" spans="1:13">
      <c r="A62" s="159" t="s">
        <v>440</v>
      </c>
      <c r="B62" s="159"/>
      <c r="C62" s="159"/>
      <c r="D62" s="159"/>
      <c r="E62" s="159"/>
      <c r="F62" s="159"/>
      <c r="G62" s="159"/>
      <c r="H62" s="159"/>
      <c r="I62" s="159"/>
      <c r="J62" s="159"/>
      <c r="K62" s="160"/>
    </row>
    <row r="63" spans="1:13">
      <c r="A63" s="128" t="s">
        <v>430</v>
      </c>
      <c r="B63" s="129">
        <f>'Balance Sheet'!C42+'Balance Sheet'!C48</f>
        <v>1266.3499999999999</v>
      </c>
      <c r="C63" s="130">
        <f>'Balance Sheet'!D42+'Balance Sheet'!D48</f>
        <v>1904.51</v>
      </c>
      <c r="D63" s="130">
        <f>'Balance Sheet'!E42+'Balance Sheet'!E48</f>
        <v>2033.36</v>
      </c>
      <c r="E63" s="130">
        <f>'Balance Sheet'!F42+'Balance Sheet'!F48</f>
        <v>1808.56</v>
      </c>
      <c r="F63" s="243">
        <f>'Balance Sheet'!G42+'Balance Sheet'!G48</f>
        <v>1895.34</v>
      </c>
      <c r="G63" s="148">
        <v>1790.5494525385454</v>
      </c>
      <c r="H63" s="148">
        <v>1834.0883512794794</v>
      </c>
      <c r="I63" s="148">
        <v>1797.6692936597733</v>
      </c>
      <c r="J63" s="148">
        <v>1802.8462533966328</v>
      </c>
      <c r="K63" s="148">
        <v>1770.2126945617856</v>
      </c>
    </row>
    <row r="64" spans="1:13">
      <c r="A64" s="109"/>
      <c r="B64" s="101"/>
      <c r="C64" s="240"/>
      <c r="D64" s="240"/>
      <c r="E64" s="131"/>
      <c r="F64" s="240"/>
      <c r="G64" s="149"/>
      <c r="H64" s="149"/>
      <c r="I64" s="149"/>
      <c r="J64" s="149"/>
      <c r="K64" s="149"/>
    </row>
    <row r="65" spans="1:12">
      <c r="A65" s="109" t="s">
        <v>441</v>
      </c>
      <c r="B65" s="101">
        <f>'Income Statement '!B63</f>
        <v>76.599999999999994</v>
      </c>
      <c r="C65" s="240">
        <f>'Income Statement '!C63</f>
        <v>143.9</v>
      </c>
      <c r="D65" s="240">
        <f>'Income Statement '!D63</f>
        <v>196.15</v>
      </c>
      <c r="E65" s="131">
        <f>'Income Statement '!E63</f>
        <v>162.1</v>
      </c>
      <c r="F65" s="240">
        <f>'Income Statement '!F63</f>
        <v>181.97</v>
      </c>
      <c r="G65" s="244">
        <f>'Income Statement '!G63</f>
        <v>173.40405386279946</v>
      </c>
      <c r="H65" s="149">
        <f>'Income Statement '!H63</f>
        <v>163.8168</v>
      </c>
      <c r="I65" s="149">
        <f>'Income Statement '!I63</f>
        <v>167.80015999999995</v>
      </c>
      <c r="J65" s="149">
        <f>'Income Statement '!J63</f>
        <v>164.46819199999999</v>
      </c>
      <c r="K65" s="149">
        <f>'Income Statement '!K63</f>
        <v>164.94183039999996</v>
      </c>
    </row>
    <row r="66" spans="1:12">
      <c r="A66" s="109"/>
      <c r="B66" s="101"/>
      <c r="C66" s="241">
        <f>C76/AVERAGE(B63:C63)</f>
        <v>9.0764019855812006E-2</v>
      </c>
      <c r="D66" s="241">
        <f>D76/AVERAGE(C63:D63)</f>
        <v>9.368516482260715E-2</v>
      </c>
      <c r="E66" s="132">
        <f>E76/AVERAGE(D63:E63)</f>
        <v>8.4384890887889377E-2</v>
      </c>
      <c r="F66" s="241">
        <f>F76/AVERAGE(E63:F63)</f>
        <v>9.7124652393423161E-2</v>
      </c>
      <c r="G66" s="150">
        <f>AVERAGE(C66:F66)</f>
        <v>9.1489681989932917E-2</v>
      </c>
      <c r="H66" s="150">
        <v>9.1489681989932917E-2</v>
      </c>
      <c r="I66" s="150">
        <v>9.1489681989932917E-2</v>
      </c>
      <c r="J66" s="150">
        <v>9.1489681989932917E-2</v>
      </c>
      <c r="K66" s="150">
        <v>9.1489681989932917E-2</v>
      </c>
      <c r="L66" s="92"/>
    </row>
    <row r="67" spans="1:12">
      <c r="A67" s="109"/>
      <c r="B67" s="101"/>
      <c r="C67" s="240"/>
      <c r="D67" s="240"/>
      <c r="E67" s="131"/>
      <c r="F67" s="240"/>
      <c r="G67" s="149"/>
      <c r="H67" s="149"/>
      <c r="I67" s="149"/>
      <c r="J67" s="149"/>
      <c r="K67" s="149"/>
    </row>
    <row r="68" spans="1:12">
      <c r="A68" s="109" t="s">
        <v>442</v>
      </c>
      <c r="B68" s="101"/>
      <c r="C68" s="240">
        <f>B63</f>
        <v>1266.3499999999999</v>
      </c>
      <c r="D68" s="240">
        <f>C63</f>
        <v>1904.51</v>
      </c>
      <c r="E68" s="131">
        <f>D63</f>
        <v>2033.36</v>
      </c>
      <c r="F68" s="240">
        <f>E63</f>
        <v>1808.56</v>
      </c>
      <c r="G68" s="149">
        <f>F63</f>
        <v>1895.34</v>
      </c>
      <c r="H68" s="149">
        <f>H76/H66</f>
        <v>1790.5494525385454</v>
      </c>
      <c r="I68" s="149">
        <f>I76/I66</f>
        <v>1834.0883512794794</v>
      </c>
      <c r="J68" s="149">
        <f>J76/J66</f>
        <v>1797.6692936597733</v>
      </c>
      <c r="K68" s="149">
        <f>K76/K66</f>
        <v>1802.8462533966328</v>
      </c>
      <c r="L68" s="78"/>
    </row>
    <row r="69" spans="1:12">
      <c r="A69" s="109" t="s">
        <v>443</v>
      </c>
      <c r="B69" s="101"/>
      <c r="C69" s="240">
        <f t="shared" ref="C69:K69" si="23">C63-(C68-C75)</f>
        <v>899.7700000000001</v>
      </c>
      <c r="D69" s="240">
        <f t="shared" si="23"/>
        <v>469.52</v>
      </c>
      <c r="E69" s="131">
        <f t="shared" si="23"/>
        <v>153.22000000000003</v>
      </c>
      <c r="F69" s="240">
        <f t="shared" si="23"/>
        <v>527.03</v>
      </c>
      <c r="G69" s="149">
        <f>G63-(G68-G75)</f>
        <v>213.76945253854547</v>
      </c>
      <c r="H69" s="149">
        <f t="shared" si="23"/>
        <v>391.36089874093386</v>
      </c>
      <c r="I69" s="149">
        <f t="shared" si="23"/>
        <v>328.64534238029387</v>
      </c>
      <c r="J69" s="149">
        <f t="shared" si="23"/>
        <v>375.1202397368595</v>
      </c>
      <c r="K69" s="149">
        <f t="shared" si="23"/>
        <v>335.69437716515267</v>
      </c>
    </row>
    <row r="70" spans="1:12">
      <c r="A70" s="109" t="s">
        <v>444</v>
      </c>
      <c r="B70" s="101"/>
      <c r="C70" s="240">
        <f>'Cash Flows'!C54</f>
        <v>-261.61</v>
      </c>
      <c r="D70" s="240">
        <f>'Cash Flows'!D54</f>
        <v>-340.67</v>
      </c>
      <c r="E70" s="131">
        <f>'Cash Flows'!E54</f>
        <v>-378.02</v>
      </c>
      <c r="F70" s="240">
        <f>'Cash Flows'!F54</f>
        <v>-440.25</v>
      </c>
      <c r="G70" s="149">
        <f>'Cash Flows'!G54</f>
        <v>-318.56</v>
      </c>
      <c r="H70" s="149">
        <f>'Cash Flows'!H54</f>
        <v>-347.822</v>
      </c>
      <c r="I70" s="149">
        <f>'Cash Flows'!I54</f>
        <v>-365.06440000000003</v>
      </c>
      <c r="J70" s="149">
        <f>'Cash Flows'!J54</f>
        <v>-369.94328000000002</v>
      </c>
      <c r="K70" s="149">
        <f>'Cash Flows'!K54</f>
        <v>-368.32793600000002</v>
      </c>
    </row>
    <row r="71" spans="1:12">
      <c r="A71" s="109" t="s">
        <v>445</v>
      </c>
      <c r="B71" s="101"/>
      <c r="C71" s="131"/>
      <c r="D71" s="242"/>
      <c r="E71" s="131"/>
      <c r="F71" s="242"/>
      <c r="G71" s="142"/>
      <c r="H71" s="142"/>
      <c r="I71" s="142"/>
      <c r="J71" s="142"/>
      <c r="K71" s="149"/>
    </row>
    <row r="72" spans="1:12">
      <c r="A72" s="99" t="s">
        <v>446</v>
      </c>
      <c r="B72" s="133"/>
      <c r="C72" s="134">
        <f>SUM(C68:C71)</f>
        <v>1904.5099999999998</v>
      </c>
      <c r="D72" s="134">
        <f t="shared" ref="D72:K72" si="24">SUM(D68:D71)</f>
        <v>2033.3599999999997</v>
      </c>
      <c r="E72" s="134">
        <f t="shared" si="24"/>
        <v>1808.56</v>
      </c>
      <c r="F72" s="135">
        <f t="shared" si="24"/>
        <v>1895.3400000000001</v>
      </c>
      <c r="G72" s="151">
        <f t="shared" si="24"/>
        <v>1790.5494525385452</v>
      </c>
      <c r="H72" s="151">
        <f t="shared" si="24"/>
        <v>1834.088351279479</v>
      </c>
      <c r="I72" s="151">
        <f t="shared" si="24"/>
        <v>1797.6692936597731</v>
      </c>
      <c r="J72" s="151">
        <f t="shared" si="24"/>
        <v>1802.8462533966326</v>
      </c>
      <c r="K72" s="151">
        <f t="shared" si="24"/>
        <v>1770.2126945617852</v>
      </c>
    </row>
    <row r="73" spans="1:12">
      <c r="A73" s="109"/>
      <c r="B73" s="101"/>
      <c r="C73" s="131"/>
      <c r="D73" s="131"/>
      <c r="E73" s="131"/>
      <c r="F73" s="152"/>
      <c r="G73" s="149"/>
      <c r="H73" s="149"/>
      <c r="I73" s="149"/>
      <c r="J73" s="149"/>
      <c r="K73" s="149"/>
    </row>
    <row r="74" spans="1:12">
      <c r="A74" s="109"/>
      <c r="B74" s="101"/>
      <c r="C74" s="131"/>
      <c r="D74" s="131"/>
      <c r="E74" s="131"/>
      <c r="F74" s="152"/>
      <c r="G74" s="149"/>
      <c r="H74" s="149"/>
      <c r="I74" s="149"/>
      <c r="J74" s="149"/>
      <c r="K74" s="149"/>
    </row>
    <row r="75" spans="1:12">
      <c r="A75" s="109" t="s">
        <v>447</v>
      </c>
      <c r="B75" s="101">
        <v>172.25</v>
      </c>
      <c r="C75" s="131">
        <v>261.61</v>
      </c>
      <c r="D75" s="131">
        <v>340.67</v>
      </c>
      <c r="E75" s="131">
        <v>378.02</v>
      </c>
      <c r="F75" s="152">
        <v>440.25</v>
      </c>
      <c r="G75" s="149">
        <f>AVERAGE(B75:F75)</f>
        <v>318.56</v>
      </c>
      <c r="H75" s="149">
        <f>AVERAGE(C75:G75)</f>
        <v>347.822</v>
      </c>
      <c r="I75" s="149">
        <f>AVERAGE(D75:H75)</f>
        <v>365.06440000000003</v>
      </c>
      <c r="J75" s="149">
        <f>AVERAGE(E75:I75)</f>
        <v>369.94328000000002</v>
      </c>
      <c r="K75" s="149">
        <f>AVERAGE(F75:J75)</f>
        <v>368.32793600000002</v>
      </c>
      <c r="L75" s="78"/>
    </row>
    <row r="76" spans="1:12" ht="30">
      <c r="A76" s="136" t="s">
        <v>448</v>
      </c>
      <c r="B76" s="101">
        <v>73.44</v>
      </c>
      <c r="C76" s="131">
        <f>'Income Statement '!C63</f>
        <v>143.9</v>
      </c>
      <c r="D76" s="131">
        <v>184.46</v>
      </c>
      <c r="E76" s="131">
        <v>162.1</v>
      </c>
      <c r="F76" s="152">
        <v>179.87</v>
      </c>
      <c r="G76" s="149">
        <f>G66*G68</f>
        <v>173.40405386279946</v>
      </c>
      <c r="H76" s="149">
        <f>H77-H75</f>
        <v>163.8168</v>
      </c>
      <c r="I76" s="149">
        <f>I77-I75</f>
        <v>167.80015999999995</v>
      </c>
      <c r="J76" s="149">
        <f>J77-J75</f>
        <v>164.46819199999999</v>
      </c>
      <c r="K76" s="149">
        <f>K77-K75</f>
        <v>164.94183039999996</v>
      </c>
      <c r="L76" s="78"/>
    </row>
    <row r="77" spans="1:12">
      <c r="A77" s="121"/>
      <c r="B77" s="106">
        <f>B75+B76</f>
        <v>245.69</v>
      </c>
      <c r="C77" s="107">
        <f>C75+C76</f>
        <v>405.51</v>
      </c>
      <c r="D77" s="107">
        <f>D75+D76</f>
        <v>525.13</v>
      </c>
      <c r="E77" s="107">
        <f>E75+E76</f>
        <v>540.12</v>
      </c>
      <c r="F77" s="137">
        <f>F75+F76</f>
        <v>620.12</v>
      </c>
      <c r="G77" s="142">
        <f>AVERAGE(B77:F77)</f>
        <v>467.31399999999996</v>
      </c>
      <c r="H77" s="142">
        <f>AVERAGE(C77:G77)</f>
        <v>511.6388</v>
      </c>
      <c r="I77" s="142">
        <f>AVERAGE(D77:H77)</f>
        <v>532.86455999999998</v>
      </c>
      <c r="J77" s="142">
        <f>AVERAGE(E77:I77)</f>
        <v>534.411472</v>
      </c>
      <c r="K77" s="142">
        <f>AVERAGE(F77:J77)</f>
        <v>533.26976639999998</v>
      </c>
      <c r="L77" s="78"/>
    </row>
  </sheetData>
  <mergeCells count="4">
    <mergeCell ref="A42:K42"/>
    <mergeCell ref="A22:K22"/>
    <mergeCell ref="A2:K2"/>
    <mergeCell ref="A62:K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23D3-148C-4F09-B068-ABDC994445EB}">
  <dimension ref="B1:Y69"/>
  <sheetViews>
    <sheetView topLeftCell="A2" workbookViewId="0">
      <pane xSplit="2" ySplit="1" topLeftCell="C33" activePane="bottomRight" state="frozen"/>
      <selection activeCell="A2" sqref="A2"/>
      <selection pane="topRight" activeCell="C2" sqref="C2"/>
      <selection pane="bottomLeft" activeCell="A3" sqref="A3"/>
      <selection pane="bottomRight" activeCell="I41" sqref="I41"/>
    </sheetView>
  </sheetViews>
  <sheetFormatPr defaultRowHeight="15"/>
  <cols>
    <col min="1" max="1" width="6.7109375" style="72" customWidth="1"/>
    <col min="2" max="2" width="23.5703125" style="72" bestFit="1" customWidth="1"/>
    <col min="3" max="3" width="9.140625" style="72"/>
    <col min="4" max="8" width="11.5703125" style="72" bestFit="1" customWidth="1"/>
    <col min="9" max="18" width="9.140625" style="72"/>
    <col min="19" max="25" width="0" style="72" hidden="1" customWidth="1"/>
    <col min="26" max="16384" width="9.140625" style="72"/>
  </cols>
  <sheetData>
    <row r="1" spans="2:25">
      <c r="I1" s="72" t="s">
        <v>175</v>
      </c>
    </row>
    <row r="2" spans="2:25">
      <c r="B2" s="75" t="s">
        <v>0</v>
      </c>
      <c r="C2" s="76">
        <v>2020</v>
      </c>
      <c r="D2" s="76">
        <v>2021</v>
      </c>
      <c r="E2" s="76">
        <f>D2+1</f>
        <v>2022</v>
      </c>
      <c r="F2" s="76">
        <f t="shared" ref="F2:M2" si="0">E2+1</f>
        <v>2023</v>
      </c>
      <c r="G2" s="76">
        <f t="shared" si="0"/>
        <v>2024</v>
      </c>
      <c r="H2" s="76">
        <f t="shared" si="0"/>
        <v>2025</v>
      </c>
      <c r="I2" s="84">
        <f>H2+1</f>
        <v>2026</v>
      </c>
      <c r="J2" s="84">
        <f t="shared" si="0"/>
        <v>2027</v>
      </c>
      <c r="K2" s="84">
        <f t="shared" si="0"/>
        <v>2028</v>
      </c>
      <c r="L2" s="84">
        <f t="shared" si="0"/>
        <v>2029</v>
      </c>
      <c r="M2" s="84">
        <f t="shared" si="0"/>
        <v>2030</v>
      </c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spans="2:25">
      <c r="I3" s="83"/>
      <c r="J3" s="83"/>
      <c r="K3" s="83"/>
      <c r="L3" s="83"/>
      <c r="M3" s="83"/>
    </row>
    <row r="4" spans="2:25">
      <c r="B4" s="209" t="s">
        <v>143</v>
      </c>
      <c r="I4" s="83"/>
      <c r="J4" s="83"/>
      <c r="K4" s="83"/>
      <c r="L4" s="83"/>
      <c r="M4" s="83"/>
    </row>
    <row r="5" spans="2:25">
      <c r="I5" s="83"/>
      <c r="J5" s="83"/>
      <c r="K5" s="83"/>
      <c r="L5" s="83"/>
      <c r="M5" s="83"/>
    </row>
    <row r="6" spans="2:25">
      <c r="B6" s="77" t="s">
        <v>144</v>
      </c>
      <c r="D6" s="78">
        <f>'Income Statement '!B16/Ratios!D8</f>
        <v>10.384222401654128</v>
      </c>
      <c r="E6" s="78">
        <f>'Income Statement '!C16/Ratios!E8</f>
        <v>9.4037664041994766</v>
      </c>
      <c r="F6" s="78">
        <f>'Income Statement '!D16/Ratios!F8</f>
        <v>11.573251055821791</v>
      </c>
      <c r="G6" s="78">
        <f>'Income Statement '!E16/Ratios!G8</f>
        <v>10.205402178779288</v>
      </c>
      <c r="H6" s="78">
        <f>'Income Statement '!F16/Ratios!H8</f>
        <v>10.071845497304343</v>
      </c>
      <c r="I6" s="85">
        <f>365/I7</f>
        <v>10.281286878911695</v>
      </c>
      <c r="J6" s="85">
        <f>365/J7</f>
        <v>10.281286878911695</v>
      </c>
      <c r="K6" s="85">
        <f>365/K7</f>
        <v>10.281286878911695</v>
      </c>
      <c r="L6" s="85">
        <f>365/L7</f>
        <v>10.281286878911695</v>
      </c>
      <c r="M6" s="85">
        <f>365/M7</f>
        <v>10.281286878911695</v>
      </c>
      <c r="P6" s="78"/>
      <c r="Q6" s="78"/>
      <c r="R6" s="78"/>
      <c r="S6" s="78"/>
      <c r="T6" s="78"/>
      <c r="U6" s="78"/>
      <c r="V6" s="78"/>
      <c r="W6" s="78"/>
      <c r="X6" s="78"/>
      <c r="Y6" s="78"/>
    </row>
    <row r="7" spans="2:25">
      <c r="B7" s="77" t="s">
        <v>145</v>
      </c>
      <c r="D7" s="78">
        <f>365/D6</f>
        <v>35.149478302954897</v>
      </c>
      <c r="E7" s="78">
        <f>365/E6</f>
        <v>38.814235095950544</v>
      </c>
      <c r="F7" s="78">
        <f>365/F6</f>
        <v>31.538242645863193</v>
      </c>
      <c r="G7" s="78">
        <f>365/G6</f>
        <v>35.765371477369769</v>
      </c>
      <c r="H7" s="78">
        <f>365/H6</f>
        <v>36.239634543410105</v>
      </c>
      <c r="I7" s="85">
        <f>AVERAGE(D7:H7)</f>
        <v>35.501392413109706</v>
      </c>
      <c r="J7" s="85">
        <v>35.501392413109706</v>
      </c>
      <c r="K7" s="85">
        <v>35.501392413109706</v>
      </c>
      <c r="L7" s="85">
        <v>35.501392413109706</v>
      </c>
      <c r="M7" s="85">
        <v>35.501392413109706</v>
      </c>
      <c r="P7" s="78"/>
      <c r="Q7" s="78"/>
      <c r="R7" s="78"/>
      <c r="S7" s="78"/>
      <c r="T7" s="78"/>
      <c r="U7" s="78"/>
      <c r="V7" s="78"/>
      <c r="W7" s="78"/>
      <c r="X7" s="78"/>
      <c r="Y7" s="78"/>
    </row>
    <row r="8" spans="2:25">
      <c r="B8" s="77" t="s">
        <v>146</v>
      </c>
      <c r="D8" s="78">
        <f t="shared" ref="D8:I8" si="1">(C10+D10)/2</f>
        <v>662.58500000000004</v>
      </c>
      <c r="E8" s="78">
        <f t="shared" si="1"/>
        <v>762</v>
      </c>
      <c r="F8" s="78">
        <f t="shared" si="1"/>
        <v>685.48500000000001</v>
      </c>
      <c r="G8" s="78">
        <f t="shared" si="1"/>
        <v>1005.15</v>
      </c>
      <c r="H8" s="78">
        <f t="shared" si="1"/>
        <v>1032.2149999999999</v>
      </c>
      <c r="I8" s="85">
        <f t="shared" si="1"/>
        <v>733.45715929271137</v>
      </c>
      <c r="J8" s="85">
        <f t="shared" ref="J8:M8" si="2">(I10+J10)/2</f>
        <v>884.37814404127357</v>
      </c>
      <c r="K8" s="85">
        <f t="shared" si="2"/>
        <v>991.19884649858784</v>
      </c>
      <c r="L8" s="85">
        <f t="shared" si="2"/>
        <v>1111.1701702936346</v>
      </c>
      <c r="M8" s="85">
        <f t="shared" si="2"/>
        <v>1245.9314024567209</v>
      </c>
      <c r="P8" s="78"/>
      <c r="Q8" s="78"/>
      <c r="R8" s="78"/>
      <c r="S8" s="78"/>
      <c r="T8" s="78"/>
    </row>
    <row r="9" spans="2:25">
      <c r="B9" s="77"/>
      <c r="D9" s="78"/>
      <c r="E9" s="78"/>
      <c r="F9" s="78"/>
      <c r="G9" s="78"/>
      <c r="H9" s="78"/>
      <c r="I9" s="83"/>
      <c r="J9" s="83"/>
      <c r="K9" s="83"/>
      <c r="L9" s="83"/>
      <c r="M9" s="83"/>
    </row>
    <row r="10" spans="2:25">
      <c r="B10" s="77" t="s">
        <v>147</v>
      </c>
      <c r="C10" s="72">
        <v>430.44</v>
      </c>
      <c r="D10" s="78">
        <f>'Balance Sheet'!C20</f>
        <v>894.73</v>
      </c>
      <c r="E10" s="78">
        <f>'Balance Sheet'!D20</f>
        <v>629.27</v>
      </c>
      <c r="F10" s="78">
        <f>'Balance Sheet'!E20</f>
        <v>741.7</v>
      </c>
      <c r="G10" s="78">
        <f>'Balance Sheet'!F20</f>
        <v>1268.5999999999999</v>
      </c>
      <c r="H10" s="78">
        <f>'Balance Sheet'!G20</f>
        <v>795.83</v>
      </c>
      <c r="I10" s="85">
        <f>((('Income Statement '!G9+'Income Statement '!G10)*2)/Ratios!I6)-'Balance Sheet'!G20</f>
        <v>671.08431858542269</v>
      </c>
      <c r="J10" s="85">
        <f>((('Income Statement '!H9+'Income Statement '!H10)*2)/Ratios!J6)-'Balance Sheet'!H20</f>
        <v>1097.6719694971243</v>
      </c>
      <c r="K10" s="85">
        <f>((('Income Statement '!I9+'Income Statement '!I10)*2)/Ratios!K6)-'Balance Sheet'!I20</f>
        <v>884.72572350005134</v>
      </c>
      <c r="L10" s="85">
        <f>((('Income Statement '!J9+'Income Statement '!J10)*2)/Ratios!L6)-'Balance Sheet'!J20</f>
        <v>1337.6146170872178</v>
      </c>
      <c r="M10" s="85">
        <f>((('Income Statement '!K9+'Income Statement '!K10)*2)/Ratios!M6)-'Balance Sheet'!K20</f>
        <v>1154.248187826224</v>
      </c>
      <c r="U10" s="78"/>
      <c r="V10" s="78"/>
      <c r="W10" s="78"/>
      <c r="X10" s="78"/>
      <c r="Y10" s="78"/>
    </row>
    <row r="11" spans="2:25">
      <c r="B11" s="77"/>
      <c r="D11" s="78"/>
      <c r="E11" s="78"/>
      <c r="F11" s="78"/>
      <c r="G11" s="78"/>
      <c r="H11" s="78"/>
      <c r="I11" s="83"/>
      <c r="J11" s="83"/>
      <c r="K11" s="83"/>
      <c r="L11" s="83"/>
      <c r="M11" s="83"/>
    </row>
    <row r="12" spans="2:25">
      <c r="B12" s="77" t="s">
        <v>148</v>
      </c>
      <c r="D12" s="78">
        <f>(('Income Statement '!B9+'Income Statement '!B10))/Ratios!D15</f>
        <v>2.1558602850310384</v>
      </c>
      <c r="E12" s="78">
        <f>(('Income Statement '!C9+'Income Statement '!C10))/Ratios!E15</f>
        <v>1.6227668500907646</v>
      </c>
      <c r="F12" s="78">
        <f>(('Income Statement '!D9+'Income Statement '!D10))/Ratios!F15</f>
        <v>2.0527701310851714</v>
      </c>
      <c r="G12" s="78">
        <f>(('Income Statement '!E9+'Income Statement '!E10))/Ratios!G15</f>
        <v>2.231333708999105</v>
      </c>
      <c r="H12" s="78">
        <f>(('Income Statement '!F9+'Income Statement '!F10))/Ratios!H15</f>
        <v>1.7985016558269975</v>
      </c>
      <c r="I12" s="85">
        <f>365/I13</f>
        <v>1.9444578251901561</v>
      </c>
      <c r="J12" s="85">
        <f>365/J13</f>
        <v>1.9070568387198343</v>
      </c>
      <c r="K12" s="85">
        <f>365/K13</f>
        <v>1.9763018865622866</v>
      </c>
      <c r="L12" s="85">
        <f>365/L13</f>
        <v>1.9616868309363489</v>
      </c>
      <c r="M12" s="85">
        <f>365/M13</f>
        <v>1.9153934537527151</v>
      </c>
      <c r="P12" s="78"/>
      <c r="Q12" s="78"/>
      <c r="R12" s="78"/>
      <c r="S12" s="78"/>
      <c r="T12" s="78"/>
      <c r="U12" s="78"/>
      <c r="V12" s="78"/>
      <c r="W12" s="78"/>
      <c r="X12" s="78"/>
      <c r="Y12" s="78"/>
    </row>
    <row r="13" spans="2:25">
      <c r="B13" s="77" t="s">
        <v>149</v>
      </c>
      <c r="D13" s="78">
        <f>365/D12</f>
        <v>169.30596223434998</v>
      </c>
      <c r="E13" s="78">
        <f>365/E12</f>
        <v>224.92448621290532</v>
      </c>
      <c r="F13" s="78">
        <f>365/F12</f>
        <v>177.80851078880775</v>
      </c>
      <c r="G13" s="78">
        <f>365/G12</f>
        <v>163.57929722834945</v>
      </c>
      <c r="H13" s="78">
        <f>365/H12</f>
        <v>202.94671334743006</v>
      </c>
      <c r="I13" s="85">
        <f>AVERAGE(D13:H13)</f>
        <v>187.71299396236853</v>
      </c>
      <c r="J13" s="85">
        <f t="shared" ref="J13:M13" si="3">AVERAGE(E13:I13)</f>
        <v>191.39440030797223</v>
      </c>
      <c r="K13" s="85">
        <f t="shared" si="3"/>
        <v>184.6883831269856</v>
      </c>
      <c r="L13" s="85">
        <f t="shared" si="3"/>
        <v>186.06435759462119</v>
      </c>
      <c r="M13" s="85">
        <f t="shared" si="3"/>
        <v>190.56136966787554</v>
      </c>
      <c r="P13" s="78"/>
      <c r="Q13" s="78"/>
      <c r="R13" s="78"/>
      <c r="S13" s="78"/>
      <c r="T13" s="78"/>
      <c r="U13" s="78"/>
      <c r="V13" s="78"/>
      <c r="W13" s="78"/>
      <c r="X13" s="78"/>
      <c r="Y13" s="78"/>
    </row>
    <row r="14" spans="2:25">
      <c r="B14" s="77" t="s">
        <v>151</v>
      </c>
      <c r="D14" s="78"/>
      <c r="E14" s="78"/>
      <c r="F14" s="78"/>
      <c r="G14" s="78"/>
      <c r="H14" s="78"/>
      <c r="I14" s="83"/>
      <c r="J14" s="83"/>
      <c r="K14" s="83"/>
      <c r="L14" s="83"/>
      <c r="M14" s="83"/>
    </row>
    <row r="15" spans="2:25">
      <c r="B15" s="77" t="s">
        <v>150</v>
      </c>
      <c r="D15" s="78">
        <f>(D17+C17)/2</f>
        <v>2431.665</v>
      </c>
      <c r="E15" s="78">
        <f>(E17+D17)/2</f>
        <v>2814.9700000000003</v>
      </c>
      <c r="F15" s="78">
        <f>(F17+E17)/2</f>
        <v>2410.2649999999999</v>
      </c>
      <c r="G15" s="78">
        <f>(G17+F17)/2</f>
        <v>3141.09</v>
      </c>
      <c r="H15" s="78">
        <f>(H17+G17)/2</f>
        <v>3765.49</v>
      </c>
      <c r="I15" s="85">
        <f>(Ratios!I17+Ratios!H17)/2</f>
        <v>3878.141953190755</v>
      </c>
      <c r="J15" s="85">
        <f>(Ratios!J17+Ratios!I17)/2</f>
        <v>4835.067777230749</v>
      </c>
      <c r="K15" s="85">
        <f>(Ratios!K17+Ratios!J17)/2</f>
        <v>5204.0046392659951</v>
      </c>
      <c r="L15" s="85">
        <f>(Ratios!L17+Ratios!K17)/2</f>
        <v>5837.6775848728084</v>
      </c>
      <c r="M15" s="85">
        <f>(Ratios!M17+Ratios!L17)/2</f>
        <v>6693.7183240359391</v>
      </c>
      <c r="P15" s="78"/>
      <c r="Q15" s="78"/>
      <c r="R15" s="78"/>
      <c r="S15" s="78"/>
      <c r="T15" s="78"/>
    </row>
    <row r="16" spans="2:25">
      <c r="B16" s="77"/>
      <c r="D16" s="78"/>
      <c r="E16" s="78"/>
      <c r="F16" s="78"/>
      <c r="G16" s="78"/>
      <c r="H16" s="78"/>
      <c r="I16" s="83"/>
      <c r="J16" s="83"/>
      <c r="K16" s="83"/>
      <c r="L16" s="83"/>
      <c r="M16" s="83"/>
    </row>
    <row r="17" spans="2:25">
      <c r="B17" s="77" t="s">
        <v>151</v>
      </c>
      <c r="C17" s="72">
        <v>1801.78</v>
      </c>
      <c r="D17" s="78">
        <f>'Balance Sheet'!C50+'Balance Sheet'!C51</f>
        <v>3061.55</v>
      </c>
      <c r="E17" s="78">
        <f>'Balance Sheet'!D50+'Balance Sheet'!D51</f>
        <v>2568.39</v>
      </c>
      <c r="F17" s="78">
        <f>'Balance Sheet'!E50+'Balance Sheet'!E51</f>
        <v>2252.14</v>
      </c>
      <c r="G17" s="78">
        <f>'Balance Sheet'!F50+'Balance Sheet'!F51</f>
        <v>4030.04</v>
      </c>
      <c r="H17" s="78">
        <f>'Balance Sheet'!G50+'Balance Sheet'!G51</f>
        <v>3500.94</v>
      </c>
      <c r="I17" s="85">
        <f>((('Income Statement '!G9+'Income Statement '!G10)*2)/I12)-('Balance Sheet'!G51+'Balance Sheet'!G50)</f>
        <v>4255.3439063815094</v>
      </c>
      <c r="J17" s="85">
        <f>((('Income Statement '!H9+'Income Statement '!H10)*2)/J12)-('Balance Sheet'!H51+'Balance Sheet'!H50)</f>
        <v>5414.7916480799886</v>
      </c>
      <c r="K17" s="85">
        <f>((('Income Statement '!I9+'Income Statement '!I10)*2)/K12)-('Balance Sheet'!I51+'Balance Sheet'!I50)</f>
        <v>4993.2176304520008</v>
      </c>
      <c r="L17" s="85">
        <f>((('Income Statement '!J9+'Income Statement '!J10)*2)/L12)-('Balance Sheet'!J51+'Balance Sheet'!J50)</f>
        <v>6682.1375392936152</v>
      </c>
      <c r="M17" s="85">
        <f>((('Income Statement '!K9+'Income Statement '!K10)*2)/M12)-('Balance Sheet'!K51+'Balance Sheet'!K50)</f>
        <v>6705.2991087782639</v>
      </c>
      <c r="P17" s="73"/>
      <c r="Q17" s="73"/>
      <c r="R17" s="73"/>
      <c r="S17" s="73"/>
      <c r="T17" s="73"/>
      <c r="U17" s="78"/>
      <c r="V17" s="78"/>
      <c r="W17" s="78"/>
      <c r="X17" s="78"/>
      <c r="Y17" s="78"/>
    </row>
    <row r="18" spans="2:25">
      <c r="B18" s="77"/>
      <c r="D18" s="78"/>
      <c r="E18" s="78"/>
      <c r="F18" s="78"/>
      <c r="G18" s="78"/>
      <c r="H18" s="78"/>
      <c r="I18" s="83"/>
      <c r="J18" s="83"/>
      <c r="K18" s="83"/>
      <c r="L18" s="83"/>
      <c r="M18" s="83"/>
    </row>
    <row r="19" spans="2:25">
      <c r="B19" s="77" t="s">
        <v>152</v>
      </c>
      <c r="D19" s="78">
        <f>'Income Statement '!B6/D22</f>
        <v>3.1277000296943398</v>
      </c>
      <c r="E19" s="78">
        <f>'Income Statement '!C6/E22</f>
        <v>3.4270712741211193</v>
      </c>
      <c r="F19" s="78">
        <f>'Income Statement '!D6/F22</f>
        <v>4.0183295243012056</v>
      </c>
      <c r="G19" s="78">
        <f>'Income Statement '!E6/G22</f>
        <v>3.6359443083335208</v>
      </c>
      <c r="H19" s="78">
        <f>'Income Statement '!F6/H22</f>
        <v>3.1605065086412543</v>
      </c>
      <c r="I19" s="85">
        <f>365/I20</f>
        <v>3.4439663401134015</v>
      </c>
      <c r="J19" s="85">
        <f>365/J20</f>
        <v>3.4439663401134015</v>
      </c>
      <c r="K19" s="85">
        <f>365/K20</f>
        <v>3.4439663401134015</v>
      </c>
      <c r="L19" s="85">
        <f>365/L20</f>
        <v>3.4439663401134015</v>
      </c>
      <c r="M19" s="85">
        <f>365/M20</f>
        <v>3.4439663401134015</v>
      </c>
      <c r="N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25">
      <c r="B20" s="77" t="s">
        <v>153</v>
      </c>
      <c r="D20" s="78">
        <f>365/D19</f>
        <v>116.69917080752475</v>
      </c>
      <c r="E20" s="78">
        <f>365/E19</f>
        <v>106.50493403981075</v>
      </c>
      <c r="F20" s="78">
        <f>365/F19</f>
        <v>90.83376507392687</v>
      </c>
      <c r="G20" s="78">
        <f>365/G19</f>
        <v>100.38657609893154</v>
      </c>
      <c r="H20" s="78">
        <f>365/H19</f>
        <v>115.4878178551572</v>
      </c>
      <c r="I20" s="85">
        <f>AVERAGE(D20:H20)</f>
        <v>105.98245277507021</v>
      </c>
      <c r="J20" s="85">
        <v>105.98245277507021</v>
      </c>
      <c r="K20" s="85">
        <v>105.98245277507021</v>
      </c>
      <c r="L20" s="85">
        <v>105.98245277507021</v>
      </c>
      <c r="M20" s="85">
        <v>105.98245277507021</v>
      </c>
      <c r="N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25">
      <c r="B21" s="77" t="s">
        <v>452</v>
      </c>
      <c r="D21" s="78"/>
      <c r="E21" s="78"/>
      <c r="F21" s="78"/>
      <c r="G21" s="78"/>
      <c r="H21" s="78"/>
      <c r="I21" s="83"/>
      <c r="J21" s="83"/>
      <c r="K21" s="83"/>
      <c r="L21" s="83"/>
      <c r="M21" s="83"/>
      <c r="N21" s="78"/>
    </row>
    <row r="22" spans="2:25">
      <c r="B22" s="77" t="s">
        <v>154</v>
      </c>
      <c r="D22" s="78">
        <f>(D24+C24)/2</f>
        <v>4175.88</v>
      </c>
      <c r="E22" s="78">
        <f>(E24+D24)/2</f>
        <v>4638.57</v>
      </c>
      <c r="F22" s="78">
        <f>(F24+E24)/2</f>
        <v>4764.99</v>
      </c>
      <c r="G22" s="78">
        <f>(G24+F24)/2</f>
        <v>6228.58</v>
      </c>
      <c r="H22" s="78">
        <f>(H24+G24)/2</f>
        <v>7671.34</v>
      </c>
      <c r="I22" s="85">
        <f>('Income Statement '!G4*2)/Ratios!I19</f>
        <v>14783.876197327609</v>
      </c>
      <c r="J22" s="85">
        <f>('Income Statement '!H4*2)/Ratios!J19</f>
        <v>17825.904113795292</v>
      </c>
      <c r="K22" s="85">
        <f>('Income Statement '!I4*2)/Ratios!K19</f>
        <v>19979.027879010675</v>
      </c>
      <c r="L22" s="85">
        <f>('Income Statement '!J4*2)/Ratios!L19</f>
        <v>22397.221192340439</v>
      </c>
      <c r="M22" s="85">
        <f>('Income Statement '!K4*2)/Ratios!M19</f>
        <v>25113.526224279318</v>
      </c>
    </row>
    <row r="23" spans="2:25">
      <c r="B23" s="77"/>
      <c r="D23" s="78"/>
      <c r="E23" s="78"/>
      <c r="F23" s="78"/>
      <c r="G23" s="78"/>
      <c r="H23" s="78"/>
      <c r="I23" s="85"/>
      <c r="J23" s="85"/>
      <c r="K23" s="85"/>
      <c r="L23" s="85"/>
      <c r="M23" s="85"/>
    </row>
    <row r="24" spans="2:25">
      <c r="B24" s="77" t="s">
        <v>155</v>
      </c>
      <c r="C24" s="72">
        <v>3344.57</v>
      </c>
      <c r="D24" s="78">
        <f>'Balance Sheet'!C23</f>
        <v>5007.1899999999996</v>
      </c>
      <c r="E24" s="78">
        <f>'Balance Sheet'!D23</f>
        <v>4269.95</v>
      </c>
      <c r="F24" s="78">
        <f>'Balance Sheet'!E23</f>
        <v>5260.03</v>
      </c>
      <c r="G24" s="78">
        <f>'Balance Sheet'!F23</f>
        <v>7197.13</v>
      </c>
      <c r="H24" s="78">
        <f>'Balance Sheet'!G23</f>
        <v>8145.55</v>
      </c>
      <c r="I24" s="85">
        <f>I22-'Balance Sheet'!G23</f>
        <v>6638.3261973276085</v>
      </c>
      <c r="J24" s="85">
        <f>J22-'Balance Sheet'!H23</f>
        <v>12055.306215393797</v>
      </c>
      <c r="K24" s="85">
        <f>K22-'Balance Sheet'!I23</f>
        <v>8913.1338765566543</v>
      </c>
      <c r="L24" s="85">
        <f>L22-'Balance Sheet'!J23</f>
        <v>14609.881184037455</v>
      </c>
      <c r="M24" s="85">
        <f>M22-'Balance Sheet'!K23</f>
        <v>11782.327733674649</v>
      </c>
      <c r="P24" s="73"/>
      <c r="Q24" s="73"/>
      <c r="R24" s="73"/>
      <c r="S24" s="73"/>
      <c r="T24" s="73"/>
      <c r="U24" s="78"/>
      <c r="V24" s="78"/>
      <c r="W24" s="78"/>
      <c r="X24" s="78"/>
      <c r="Y24" s="78"/>
    </row>
    <row r="25" spans="2:25">
      <c r="B25" s="77"/>
      <c r="D25" s="78"/>
      <c r="E25" s="78"/>
      <c r="F25" s="78"/>
      <c r="G25" s="78"/>
      <c r="H25" s="78"/>
      <c r="I25" s="83"/>
      <c r="J25" s="83"/>
      <c r="K25" s="83"/>
      <c r="L25" s="83"/>
      <c r="M25" s="83"/>
    </row>
    <row r="26" spans="2:25">
      <c r="B26" s="77" t="s">
        <v>156</v>
      </c>
      <c r="D26" s="78">
        <f>D7+D20</f>
        <v>151.84864911047964</v>
      </c>
      <c r="E26" s="78">
        <f>E7+E20</f>
        <v>145.31916913576129</v>
      </c>
      <c r="F26" s="78">
        <f>F7+F20</f>
        <v>122.37200771979006</v>
      </c>
      <c r="G26" s="78">
        <f>G7+G20</f>
        <v>136.15194757630132</v>
      </c>
      <c r="H26" s="78">
        <f>H7+H20</f>
        <v>151.72745239856732</v>
      </c>
      <c r="I26" s="78">
        <f t="shared" ref="I26:M26" si="4">I7+I20</f>
        <v>141.48384518817991</v>
      </c>
      <c r="J26" s="78">
        <f t="shared" si="4"/>
        <v>141.48384518817991</v>
      </c>
      <c r="K26" s="78">
        <f t="shared" si="4"/>
        <v>141.48384518817991</v>
      </c>
      <c r="L26" s="78">
        <f t="shared" si="4"/>
        <v>141.48384518817991</v>
      </c>
      <c r="M26" s="78">
        <f t="shared" si="4"/>
        <v>141.48384518817991</v>
      </c>
    </row>
    <row r="27" spans="2:25">
      <c r="B27" s="77" t="s">
        <v>157</v>
      </c>
      <c r="D27" s="78">
        <f>D20+D7-D13</f>
        <v>-17.457313123870335</v>
      </c>
      <c r="E27" s="78">
        <f>E20+E7-E13</f>
        <v>-79.605317077144036</v>
      </c>
      <c r="F27" s="78">
        <f>F20+F7-F13</f>
        <v>-55.436503069017689</v>
      </c>
      <c r="G27" s="78">
        <f>G20+G7-G13</f>
        <v>-27.427349652048122</v>
      </c>
      <c r="H27" s="78">
        <f>H20+H7-H13</f>
        <v>-51.21926094886274</v>
      </c>
      <c r="I27" s="78">
        <f t="shared" ref="I27:M27" si="5">I20+I7-I13</f>
        <v>-46.229148774188616</v>
      </c>
      <c r="J27" s="78">
        <f t="shared" si="5"/>
        <v>-49.910555119792321</v>
      </c>
      <c r="K27" s="78">
        <f t="shared" si="5"/>
        <v>-43.204537938805686</v>
      </c>
      <c r="L27" s="78">
        <f t="shared" si="5"/>
        <v>-44.580512406441272</v>
      </c>
      <c r="M27" s="78">
        <f t="shared" si="5"/>
        <v>-49.077524479695626</v>
      </c>
    </row>
    <row r="28" spans="2:25">
      <c r="D28" s="78"/>
      <c r="E28" s="78"/>
      <c r="F28" s="78"/>
      <c r="G28" s="78"/>
      <c r="H28" s="78"/>
      <c r="I28" s="78"/>
      <c r="J28" s="78"/>
      <c r="K28" s="78"/>
      <c r="L28" s="78"/>
      <c r="M28" s="78"/>
    </row>
    <row r="29" spans="2:25">
      <c r="B29" s="209" t="s">
        <v>158</v>
      </c>
      <c r="D29" s="78"/>
      <c r="E29" s="78"/>
      <c r="F29" s="78"/>
      <c r="G29" s="78"/>
      <c r="H29" s="78"/>
      <c r="I29" s="78"/>
      <c r="J29" s="78"/>
      <c r="K29" s="78"/>
      <c r="L29" s="78"/>
      <c r="M29" s="78"/>
    </row>
    <row r="30" spans="2:25">
      <c r="D30" s="78"/>
      <c r="E30" s="78"/>
      <c r="F30" s="78"/>
      <c r="G30" s="78"/>
      <c r="H30" s="78"/>
      <c r="I30" s="78"/>
      <c r="J30" s="78"/>
      <c r="K30" s="78"/>
      <c r="L30" s="78"/>
      <c r="M30" s="78"/>
    </row>
    <row r="31" spans="2:25">
      <c r="B31" s="77" t="s">
        <v>159</v>
      </c>
      <c r="D31" s="78">
        <f>'Balance Sheet'!C29/'Balance Sheet'!C55</f>
        <v>1.9083794858816996</v>
      </c>
      <c r="E31" s="78">
        <f>'Balance Sheet'!D29/'Balance Sheet'!D55</f>
        <v>2.0104208306683722</v>
      </c>
      <c r="F31" s="78">
        <f>'Balance Sheet'!E29/'Balance Sheet'!E55</f>
        <v>2.9601748288225957</v>
      </c>
      <c r="G31" s="78">
        <f>'Balance Sheet'!F29/'Balance Sheet'!F55</f>
        <v>2.9336729698859618</v>
      </c>
      <c r="H31" s="78">
        <f>'Balance Sheet'!G29/'Balance Sheet'!G55</f>
        <v>2.6215166577303752</v>
      </c>
      <c r="I31" s="78">
        <f>'Balance Sheet'!H29/'Balance Sheet'!H55</f>
        <v>2.8289368813469422</v>
      </c>
      <c r="J31" s="78">
        <f>'Balance Sheet'!I29/'Balance Sheet'!I55</f>
        <v>2.8911703136700355</v>
      </c>
      <c r="K31" s="78">
        <f>'Balance Sheet'!J29/'Balance Sheet'!J55</f>
        <v>3.2365755197290191</v>
      </c>
      <c r="L31" s="78">
        <f>'Balance Sheet'!K29/'Balance Sheet'!K55</f>
        <v>3.0574769698186555</v>
      </c>
      <c r="M31" s="78">
        <f>'Balance Sheet'!L29/'Balance Sheet'!L55</f>
        <v>3.2000216903284304</v>
      </c>
    </row>
    <row r="32" spans="2:25">
      <c r="B32" s="77"/>
      <c r="D32" s="78"/>
      <c r="E32" s="78"/>
      <c r="F32" s="78"/>
      <c r="G32" s="78"/>
      <c r="H32" s="78"/>
      <c r="I32" s="78"/>
      <c r="J32" s="78"/>
      <c r="K32" s="78"/>
      <c r="L32" s="78"/>
      <c r="M32" s="78"/>
    </row>
    <row r="33" spans="2:25">
      <c r="B33" s="77" t="s">
        <v>160</v>
      </c>
      <c r="D33" s="78">
        <f>('Balance Sheet'!C29-'Balance Sheet'!C20)/'Balance Sheet'!C55</f>
        <v>1.7342041483759814</v>
      </c>
      <c r="E33" s="78">
        <f>('Balance Sheet'!D29-'Balance Sheet'!D20)/'Balance Sheet'!D55</f>
        <v>1.8532039494723374</v>
      </c>
      <c r="F33" s="78">
        <f>('Balance Sheet'!E29-'Balance Sheet'!E20)/'Balance Sheet'!E55</f>
        <v>2.7565464718511312</v>
      </c>
      <c r="G33" s="78">
        <f>('Balance Sheet'!F29-'Balance Sheet'!F20)/'Balance Sheet'!F55</f>
        <v>2.7036749641931213</v>
      </c>
      <c r="H33" s="78">
        <f>('Balance Sheet'!G29-'Balance Sheet'!G20)/'Balance Sheet'!G55</f>
        <v>2.5061906763082002</v>
      </c>
      <c r="I33" s="78">
        <f>('Balance Sheet'!H29-'Balance Sheet'!H20)/'Balance Sheet'!H55</f>
        <v>2.7365017938953202</v>
      </c>
      <c r="J33" s="78">
        <f>('Balance Sheet'!I29-'Balance Sheet'!I20)/'Balance Sheet'!I55</f>
        <v>2.7629261493174675</v>
      </c>
      <c r="K33" s="78">
        <f>('Balance Sheet'!J29-'Balance Sheet'!J20)/'Balance Sheet'!J55</f>
        <v>3.1348271982440785</v>
      </c>
      <c r="L33" s="78">
        <f>('Balance Sheet'!K29-'Balance Sheet'!K20)/'Balance Sheet'!K55</f>
        <v>2.9377015589250082</v>
      </c>
      <c r="M33" s="78">
        <f>('Balance Sheet'!L29-'Balance Sheet'!L20)/'Balance Sheet'!L55</f>
        <v>3.106033845005975</v>
      </c>
    </row>
    <row r="35" spans="2:25">
      <c r="B35" s="209" t="s">
        <v>161</v>
      </c>
    </row>
    <row r="37" spans="2:25">
      <c r="B37" s="77" t="s">
        <v>162</v>
      </c>
      <c r="D37" s="78">
        <f>('Balance Sheet'!C42+'Balance Sheet'!C48)/'Balance Sheet'!C38</f>
        <v>0.12863188132570016</v>
      </c>
      <c r="E37" s="78">
        <f>('Balance Sheet'!D42+'Balance Sheet'!D48)/'Balance Sheet'!D38</f>
        <v>0.15714945829310756</v>
      </c>
      <c r="F37" s="78">
        <f>('Balance Sheet'!E42+'Balance Sheet'!E48)/'Balance Sheet'!E38</f>
        <v>0.13013878799709433</v>
      </c>
      <c r="G37" s="78">
        <f>('Balance Sheet'!F42+'Balance Sheet'!F48)/'Balance Sheet'!F38</f>
        <v>9.2901073014173816E-2</v>
      </c>
      <c r="H37" s="78">
        <f>('Balance Sheet'!G42+'Balance Sheet'!G48)/'Balance Sheet'!G38</f>
        <v>8.3623573470095469E-2</v>
      </c>
      <c r="I37" s="78">
        <f>('Balance Sheet'!H42+'Balance Sheet'!H48)/'Balance Sheet'!H38</f>
        <v>6.9972457305623875E-2</v>
      </c>
      <c r="J37" s="78">
        <f>('Balance Sheet'!I42+'Balance Sheet'!I48)/'Balance Sheet'!I38</f>
        <v>6.2496046990830799E-2</v>
      </c>
      <c r="K37" s="78">
        <f>('Balance Sheet'!J42+'Balance Sheet'!J48)/'Balance Sheet'!J38</f>
        <v>5.3623448806128203E-2</v>
      </c>
      <c r="L37" s="78">
        <f>('Balance Sheet'!K42+'Balance Sheet'!K48)/'Balance Sheet'!K38</f>
        <v>4.7163988238593961E-2</v>
      </c>
      <c r="M37" s="78">
        <f>('Balance Sheet'!L42+'Balance Sheet'!L48)/'Balance Sheet'!L38</f>
        <v>4.0670652330722645E-2</v>
      </c>
    </row>
    <row r="38" spans="2:25">
      <c r="B38" s="77"/>
    </row>
    <row r="39" spans="2:25">
      <c r="B39" s="77" t="s">
        <v>163</v>
      </c>
      <c r="D39" s="92">
        <f>('Balance Sheet'!C42+'Balance Sheet'!C48)/('Balance Sheet'!C38+'Balance Sheet'!C42+'Balance Sheet'!C48)</f>
        <v>0.11397151139715114</v>
      </c>
      <c r="E39" s="92">
        <f>('Balance Sheet'!D42+'Balance Sheet'!D48)/('Balance Sheet'!D38+'Balance Sheet'!D42+'Balance Sheet'!D48)</f>
        <v>0.13580739909338607</v>
      </c>
      <c r="F39" s="92">
        <f>('Balance Sheet'!E42+'Balance Sheet'!E48)/('Balance Sheet'!E38+'Balance Sheet'!E42+'Balance Sheet'!E48)</f>
        <v>0.11515292579925937</v>
      </c>
      <c r="G39" s="92">
        <f>('Balance Sheet'!F42+'Balance Sheet'!F48)/('Balance Sheet'!F38+'Balance Sheet'!F42+'Balance Sheet'!F48)</f>
        <v>8.5004100835912519E-2</v>
      </c>
      <c r="H39" s="92">
        <f>('Balance Sheet'!G42+'Balance Sheet'!G48)/('Balance Sheet'!G38+'Balance Sheet'!G42+'Balance Sheet'!G48)</f>
        <v>7.7170315889591723E-2</v>
      </c>
      <c r="I39" s="92">
        <f>('Balance Sheet'!H42+'Balance Sheet'!H48)/('Balance Sheet'!H38+'Balance Sheet'!H42+'Balance Sheet'!H48)</f>
        <v>6.5396503272454928E-2</v>
      </c>
      <c r="J39" s="92">
        <f>('Balance Sheet'!I42+'Balance Sheet'!I48)/('Balance Sheet'!I38+'Balance Sheet'!I42+'Balance Sheet'!I48)</f>
        <v>5.8820027771237564E-2</v>
      </c>
      <c r="K39" s="92">
        <f>('Balance Sheet'!J42+'Balance Sheet'!J48)/('Balance Sheet'!J38+'Balance Sheet'!J42+'Balance Sheet'!J48)</f>
        <v>5.0894319851071547E-2</v>
      </c>
      <c r="L39" s="92">
        <f>('Balance Sheet'!K42+'Balance Sheet'!K48)/('Balance Sheet'!K38+'Balance Sheet'!K42+'Balance Sheet'!K48)</f>
        <v>4.5039734719990919E-2</v>
      </c>
      <c r="M39" s="92">
        <f>('Balance Sheet'!L42+'Balance Sheet'!L48)/('Balance Sheet'!L38+'Balance Sheet'!L42+'Balance Sheet'!L48)</f>
        <v>3.9081194650425873E-2</v>
      </c>
    </row>
    <row r="40" spans="2:25">
      <c r="B40" s="77"/>
    </row>
    <row r="41" spans="2:25">
      <c r="B41" s="77" t="s">
        <v>164</v>
      </c>
      <c r="D41" s="78">
        <f>U49/U51</f>
        <v>1.6047746239918206</v>
      </c>
      <c r="E41" s="78">
        <f>V49/V51</f>
        <v>1.5357974417975711</v>
      </c>
      <c r="F41" s="78">
        <f>W49/W51</f>
        <v>1.3922537229239842</v>
      </c>
      <c r="G41" s="78">
        <f>X49/X51</f>
        <v>1.3563578624729069</v>
      </c>
      <c r="H41" s="78">
        <f>Y49/Y51</f>
        <v>1.3714867277767187</v>
      </c>
      <c r="I41" s="78"/>
      <c r="J41" s="78"/>
      <c r="K41" s="78"/>
      <c r="L41" s="78"/>
      <c r="M41" s="78"/>
    </row>
    <row r="42" spans="2:25">
      <c r="B42" s="77"/>
    </row>
    <row r="43" spans="2:25">
      <c r="B43" s="77" t="s">
        <v>165</v>
      </c>
      <c r="D43" s="78">
        <f>'Income Statement '!B54/'Income Statement '!B63</f>
        <v>58.649869451697121</v>
      </c>
      <c r="E43" s="78">
        <f>'Income Statement '!C54/'Income Statement '!C63</f>
        <v>28.470118137595527</v>
      </c>
      <c r="F43" s="78">
        <f>'Income Statement '!D54/'Income Statement '!D63</f>
        <v>28.251593168493489</v>
      </c>
      <c r="G43" s="78">
        <f>'Income Statement '!E54/'Income Statement '!E63</f>
        <v>38.125601480567553</v>
      </c>
      <c r="H43" s="78">
        <f>'Income Statement '!F54/'Income Statement '!F63</f>
        <v>35.556135626751647</v>
      </c>
      <c r="I43" s="78">
        <f>'Income Statement '!G54/'Income Statement '!G63</f>
        <v>35.23458941066167</v>
      </c>
      <c r="J43" s="78">
        <f>'Income Statement '!H54/'Income Statement '!H63</f>
        <v>44.971075310957119</v>
      </c>
      <c r="K43" s="78">
        <f>'Income Statement '!I54/'Income Statement '!I63</f>
        <v>49.206460487403611</v>
      </c>
      <c r="L43" s="78">
        <f>'Income Statement '!J54/'Income Statement '!J63</f>
        <v>56.279776625862119</v>
      </c>
      <c r="M43" s="78">
        <f>'Income Statement '!K54/'Income Statement '!K63</f>
        <v>62.924102725107041</v>
      </c>
    </row>
    <row r="45" spans="2:25">
      <c r="B45" s="209" t="s">
        <v>166</v>
      </c>
    </row>
    <row r="47" spans="2:25">
      <c r="B47" s="77" t="s">
        <v>167</v>
      </c>
      <c r="D47" s="92">
        <f>'Income Statement '!B19</f>
        <v>0.47320399053663986</v>
      </c>
      <c r="E47" s="92">
        <f>'Income Statement '!C19</f>
        <v>0.54923565945406294</v>
      </c>
      <c r="F47" s="92">
        <f>'Income Statement '!D19</f>
        <v>0.58567056451823485</v>
      </c>
      <c r="G47" s="92">
        <f>'Income Statement '!E19</f>
        <v>0.54704534024057294</v>
      </c>
      <c r="H47" s="92">
        <f>'Income Statement '!F19</f>
        <v>0.57120343225001768</v>
      </c>
      <c r="I47" s="92">
        <f>'Income Statement '!G19</f>
        <v>0.54527179739990561</v>
      </c>
      <c r="J47" s="92">
        <f>'Income Statement '!H19</f>
        <v>0.54527179739990561</v>
      </c>
      <c r="K47" s="92">
        <f>'Income Statement '!I19</f>
        <v>0.54527179739990561</v>
      </c>
      <c r="L47" s="92">
        <f>'Income Statement '!J19</f>
        <v>0.54527179739990561</v>
      </c>
      <c r="M47" s="92">
        <f>'Income Statement '!K19</f>
        <v>0.54527179739990561</v>
      </c>
      <c r="T47" s="72">
        <v>2020</v>
      </c>
      <c r="U47" s="72">
        <f>T47+1</f>
        <v>2021</v>
      </c>
      <c r="V47" s="72">
        <f>U47+1</f>
        <v>2022</v>
      </c>
      <c r="W47" s="72">
        <f>V47+1</f>
        <v>2023</v>
      </c>
      <c r="X47" s="72">
        <f>W47+1</f>
        <v>2024</v>
      </c>
      <c r="Y47" s="72">
        <f>X47+1</f>
        <v>2025</v>
      </c>
    </row>
    <row r="48" spans="2:25">
      <c r="B48" s="77"/>
      <c r="S48" s="72" t="s">
        <v>178</v>
      </c>
      <c r="T48" s="72">
        <f>'Balance Sheet'!B31</f>
        <v>13327.38</v>
      </c>
      <c r="U48" s="72">
        <f>'Balance Sheet'!C31</f>
        <v>16118.099999999999</v>
      </c>
      <c r="V48" s="72">
        <f>'Balance Sheet'!D31</f>
        <v>17613.940000000002</v>
      </c>
      <c r="W48" s="72">
        <f>'Balance Sheet'!E31</f>
        <v>21012.259999999995</v>
      </c>
      <c r="X48" s="72">
        <f>'Balance Sheet'!F31</f>
        <v>26585.239999999998</v>
      </c>
      <c r="Y48" s="72">
        <f>'Balance Sheet'!G31</f>
        <v>31199.239999999998</v>
      </c>
    </row>
    <row r="49" spans="2:25">
      <c r="B49" s="77" t="s">
        <v>168</v>
      </c>
      <c r="D49" s="92">
        <f>'Income Statement '!B54/'Income Statement '!B6</f>
        <v>0.34397170179696646</v>
      </c>
      <c r="E49" s="92">
        <f>'Income Statement '!C54/'Income Statement '!C6</f>
        <v>0.25771684832899366</v>
      </c>
      <c r="F49" s="92">
        <f>'Income Statement '!D54/'Income Statement '!D6</f>
        <v>0.28941678461192955</v>
      </c>
      <c r="G49" s="92">
        <f>'Income Statement '!E54/'Income Statement '!E6</f>
        <v>0.27289366209839194</v>
      </c>
      <c r="H49" s="92">
        <f>'Income Statement '!F54/'Income Statement '!F6</f>
        <v>0.26686181085669303</v>
      </c>
      <c r="I49" s="92">
        <f>'Income Statement '!G54/'Income Statement '!G6</f>
        <v>0.24</v>
      </c>
      <c r="J49" s="92">
        <f>'Income Statement '!H54/'Income Statement '!H6</f>
        <v>0.24</v>
      </c>
      <c r="K49" s="92">
        <f>'Income Statement '!I54/'Income Statement '!I6</f>
        <v>0.24</v>
      </c>
      <c r="L49" s="92">
        <f>'Income Statement '!J54/'Income Statement '!J6</f>
        <v>0.24</v>
      </c>
      <c r="M49" s="92">
        <f>'Income Statement '!K54/'Income Statement '!K6</f>
        <v>0.24</v>
      </c>
      <c r="U49" s="72">
        <f>(T48+U48)/2</f>
        <v>14722.739999999998</v>
      </c>
      <c r="V49" s="72">
        <f>(U48+V48)/2</f>
        <v>16866.02</v>
      </c>
      <c r="W49" s="72">
        <f>(V48+W48)/2</f>
        <v>19313.099999999999</v>
      </c>
      <c r="X49" s="72">
        <f>(W48+X48)/2</f>
        <v>23798.749999999996</v>
      </c>
      <c r="Y49" s="72">
        <f>(X48+Y48)/2</f>
        <v>28892.239999999998</v>
      </c>
    </row>
    <row r="50" spans="2:25">
      <c r="B50" s="77"/>
      <c r="S50" s="72" t="s">
        <v>26</v>
      </c>
      <c r="T50" s="72">
        <v>8503.91</v>
      </c>
      <c r="U50" s="72">
        <v>9844.76</v>
      </c>
      <c r="V50" s="72">
        <v>12119.1</v>
      </c>
      <c r="W50" s="72">
        <v>15624.55</v>
      </c>
      <c r="X50" s="72">
        <v>19467.59</v>
      </c>
      <c r="Y50" s="72">
        <v>22665.140000000003</v>
      </c>
    </row>
    <row r="51" spans="2:25">
      <c r="B51" s="77" t="s">
        <v>169</v>
      </c>
      <c r="D51" s="92">
        <f>'Income Statement '!B55</f>
        <v>0.34397170179696646</v>
      </c>
      <c r="E51" s="92">
        <f>'Income Statement '!C55</f>
        <v>0.25771684832899366</v>
      </c>
      <c r="F51" s="92">
        <f>'Income Statement '!D55</f>
        <v>0.28941678461192955</v>
      </c>
      <c r="G51" s="92">
        <f>'Income Statement '!E55</f>
        <v>0.27289366209839194</v>
      </c>
      <c r="H51" s="92">
        <f>'Income Statement '!F55</f>
        <v>0.26686181085669303</v>
      </c>
      <c r="I51" s="92">
        <f>'Income Statement '!G55</f>
        <v>0.24</v>
      </c>
      <c r="J51" s="92">
        <f>'Income Statement '!H55</f>
        <v>0.24</v>
      </c>
      <c r="K51" s="92">
        <f>'Income Statement '!I55</f>
        <v>0.24</v>
      </c>
      <c r="L51" s="92">
        <f>'Income Statement '!J55</f>
        <v>0.24</v>
      </c>
      <c r="M51" s="92">
        <f>'Income Statement '!K55</f>
        <v>0.24</v>
      </c>
      <c r="U51" s="72">
        <f>(T50+U50)/2</f>
        <v>9174.3349999999991</v>
      </c>
      <c r="V51" s="72">
        <f>(U50+V50)/2</f>
        <v>10981.93</v>
      </c>
      <c r="W51" s="72">
        <f>(V50+W50)/2</f>
        <v>13871.825000000001</v>
      </c>
      <c r="X51" s="72">
        <f>(W50+X50)/2</f>
        <v>17546.07</v>
      </c>
      <c r="Y51" s="72">
        <f>(X50+Y50)/2</f>
        <v>21066.365000000002</v>
      </c>
    </row>
    <row r="52" spans="2:25">
      <c r="B52" s="77"/>
      <c r="S52" s="72" t="s">
        <v>176</v>
      </c>
      <c r="T52" s="72">
        <f>'Balance Sheet'!B42+'Balance Sheet'!B48</f>
        <v>865.16</v>
      </c>
      <c r="U52" s="72">
        <f>'Balance Sheet'!C42+'Balance Sheet'!C48</f>
        <v>1266.3499999999999</v>
      </c>
      <c r="V52" s="72">
        <f>'Balance Sheet'!D42+'Balance Sheet'!D48</f>
        <v>1904.51</v>
      </c>
      <c r="W52" s="72">
        <f>'Balance Sheet'!E42+'Balance Sheet'!E48</f>
        <v>2033.36</v>
      </c>
      <c r="X52" s="72">
        <f>'Balance Sheet'!F42+'Balance Sheet'!F48</f>
        <v>1808.56</v>
      </c>
      <c r="Y52" s="72">
        <f>'Balance Sheet'!G42+'Balance Sheet'!G48</f>
        <v>1895.34</v>
      </c>
    </row>
    <row r="53" spans="2:25">
      <c r="B53" s="77" t="s">
        <v>170</v>
      </c>
      <c r="D53" s="92">
        <f>'Income Statement '!B86</f>
        <v>0.24873553889854444</v>
      </c>
      <c r="E53" s="92">
        <f>'Income Statement '!C86</f>
        <v>0.14093356424065084</v>
      </c>
      <c r="F53" s="92">
        <f>'Income Statement '!D86</f>
        <v>0.15512944383803451</v>
      </c>
      <c r="G53" s="92">
        <f>'Income Statement '!E86</f>
        <v>0.153284993842389</v>
      </c>
      <c r="H53" s="92">
        <f>'Income Statement '!F86</f>
        <v>0.1536201625715807</v>
      </c>
      <c r="I53" s="92">
        <f>'Income Statement '!G86</f>
        <v>0.13149582596933435</v>
      </c>
      <c r="J53" s="92">
        <f>'Income Statement '!H86</f>
        <v>0.13290102340310794</v>
      </c>
      <c r="K53" s="92">
        <f>'Income Statement '!I86</f>
        <v>0.13144111389327709</v>
      </c>
      <c r="L53" s="92">
        <f>'Income Statement '!J86</f>
        <v>0.13214187847043088</v>
      </c>
      <c r="M53" s="92">
        <f>'Income Statement '!K86</f>
        <v>0.13310748614148862</v>
      </c>
      <c r="U53" s="72">
        <f>(T52+U52)/2</f>
        <v>1065.7549999999999</v>
      </c>
      <c r="V53" s="72">
        <f>(U52+V52)/2</f>
        <v>1585.4299999999998</v>
      </c>
      <c r="W53" s="72">
        <f>(V52+W52)/2</f>
        <v>1968.9349999999999</v>
      </c>
      <c r="X53" s="72">
        <f>(W52+X52)/2</f>
        <v>1920.96</v>
      </c>
      <c r="Y53" s="72">
        <f>(X52+Y52)/2</f>
        <v>1851.9499999999998</v>
      </c>
    </row>
    <row r="54" spans="2:25">
      <c r="S54" s="72" t="s">
        <v>177</v>
      </c>
      <c r="T54" s="72">
        <f t="shared" ref="T54:Y54" si="6">T50+T52</f>
        <v>9369.07</v>
      </c>
      <c r="U54" s="72">
        <f t="shared" si="6"/>
        <v>11111.11</v>
      </c>
      <c r="V54" s="72">
        <f t="shared" si="6"/>
        <v>14023.61</v>
      </c>
      <c r="W54" s="72">
        <f t="shared" si="6"/>
        <v>17657.91</v>
      </c>
      <c r="X54" s="72">
        <f t="shared" si="6"/>
        <v>21276.15</v>
      </c>
      <c r="Y54" s="72">
        <f t="shared" si="6"/>
        <v>24560.480000000003</v>
      </c>
    </row>
    <row r="55" spans="2:25">
      <c r="B55" s="77" t="s">
        <v>171</v>
      </c>
      <c r="D55" s="92">
        <f>'Income Statement '!B85/Ratios!U51</f>
        <v>0.35410849941712391</v>
      </c>
      <c r="E55" s="92">
        <f>'Income Statement '!C85/Ratios!V51</f>
        <v>0.20400603536901041</v>
      </c>
      <c r="F55" s="92">
        <f>'Income Statement '!D85/Ratios!W51</f>
        <v>0.21412539445963297</v>
      </c>
      <c r="G55" s="92">
        <f>'Income Statement '!E85/Ratios!X51</f>
        <v>0.1978454434525794</v>
      </c>
      <c r="H55" s="92">
        <f>'Income Statement '!F85/Ratios!Y51</f>
        <v>0.17680174059454476</v>
      </c>
      <c r="I55" s="92" t="e">
        <f>'Income Statement '!G85/Ratios!Z51</f>
        <v>#DIV/0!</v>
      </c>
      <c r="J55" s="92" t="e">
        <f>'Income Statement '!H85/Ratios!AA51</f>
        <v>#DIV/0!</v>
      </c>
      <c r="K55" s="92" t="e">
        <f>'Income Statement '!I85/Ratios!AB51</f>
        <v>#DIV/0!</v>
      </c>
      <c r="L55" s="92" t="e">
        <f>'Income Statement '!J85/Ratios!AC51</f>
        <v>#DIV/0!</v>
      </c>
      <c r="M55" s="92" t="e">
        <f>'Income Statement '!K85/Ratios!AD51</f>
        <v>#DIV/0!</v>
      </c>
      <c r="U55" s="72">
        <f>(T54+U54)/2</f>
        <v>10240.09</v>
      </c>
      <c r="V55" s="72">
        <f>(U54+V54)/2</f>
        <v>12567.36</v>
      </c>
      <c r="W55" s="72">
        <f>(V54+W54)/2</f>
        <v>15840.76</v>
      </c>
      <c r="X55" s="72">
        <f>(W54+X54)/2</f>
        <v>19467.03</v>
      </c>
      <c r="Y55" s="72">
        <f>(X54+Y54)/2</f>
        <v>22918.315000000002</v>
      </c>
    </row>
    <row r="57" spans="2:25">
      <c r="B57" s="72" t="s">
        <v>179</v>
      </c>
      <c r="D57" s="78">
        <f>'Income Statement '!B54-'Income Statement '!B83</f>
        <v>3903.3399999999992</v>
      </c>
      <c r="E57" s="78">
        <f>'Income Statement '!C54-'Income Statement '!C83</f>
        <v>3322.7799999999966</v>
      </c>
      <c r="F57" s="78">
        <f>'Income Statement '!D54-'Income Statement '!D83</f>
        <v>4503.739999999998</v>
      </c>
      <c r="G57" s="78">
        <f>'Income Statement '!E54-'Income Statement '!E83</f>
        <v>4980.9799999999996</v>
      </c>
      <c r="H57" s="78">
        <f>'Income Statement '!F54-'Income Statement '!F83</f>
        <v>5216.3299999999972</v>
      </c>
      <c r="I57" s="78">
        <f>'Income Statement '!G54-'Income Statement '!G83</f>
        <v>4993.9652072482122</v>
      </c>
      <c r="J57" s="78">
        <f>'Income Statement '!H54-'Income Statement '!H83</f>
        <v>6007.178504008667</v>
      </c>
      <c r="K57" s="78">
        <f>'Income Statement '!I54-'Income Statement '!I83</f>
        <v>6749.5049752975992</v>
      </c>
      <c r="L57" s="78">
        <f>'Income Statement '!J54-'Income Statement '!J83</f>
        <v>7557.4330655590547</v>
      </c>
      <c r="M57" s="78">
        <f>'Income Statement '!K54-'Income Statement '!K83</f>
        <v>8460.069183415424</v>
      </c>
    </row>
    <row r="59" spans="2:25">
      <c r="B59" s="77" t="s">
        <v>172</v>
      </c>
      <c r="D59" s="92">
        <f>D57/((T54+U54)/2)</f>
        <v>0.38118219664084974</v>
      </c>
      <c r="E59" s="92">
        <f>E57/((U54+V54)/2)</f>
        <v>0.26439761413693857</v>
      </c>
      <c r="F59" s="92">
        <f>F57/((V54+W54)/2)</f>
        <v>0.28431337890353731</v>
      </c>
      <c r="G59" s="92">
        <f>G57/((W54+X54)/2)</f>
        <v>0.25586748466509784</v>
      </c>
      <c r="H59" s="92">
        <f>H57/((X54+Y54)/2)</f>
        <v>0.22760530169866314</v>
      </c>
      <c r="I59" s="92">
        <f t="shared" ref="I59:M59" si="7">I57/((Y54+Z54)/2)</f>
        <v>0.4066667432597581</v>
      </c>
      <c r="J59" s="92" t="e">
        <f t="shared" si="7"/>
        <v>#DIV/0!</v>
      </c>
      <c r="K59" s="92" t="e">
        <f t="shared" si="7"/>
        <v>#DIV/0!</v>
      </c>
      <c r="L59" s="92" t="e">
        <f t="shared" si="7"/>
        <v>#DIV/0!</v>
      </c>
      <c r="M59" s="92" t="e">
        <f t="shared" si="7"/>
        <v>#DIV/0!</v>
      </c>
    </row>
    <row r="61" spans="2:25">
      <c r="B61" s="209" t="s">
        <v>173</v>
      </c>
    </row>
    <row r="63" spans="2:25">
      <c r="B63" s="77" t="s">
        <v>170</v>
      </c>
      <c r="D63" s="92">
        <f>D53</f>
        <v>0.24873553889854444</v>
      </c>
      <c r="E63" s="92">
        <f>E53</f>
        <v>0.14093356424065084</v>
      </c>
      <c r="F63" s="92">
        <f>F53</f>
        <v>0.15512944383803451</v>
      </c>
      <c r="G63" s="92">
        <f>G53</f>
        <v>0.153284993842389</v>
      </c>
      <c r="H63" s="92">
        <f>H53</f>
        <v>0.1536201625715807</v>
      </c>
      <c r="I63" s="92">
        <f t="shared" ref="I63:M63" si="8">I53</f>
        <v>0.13149582596933435</v>
      </c>
      <c r="J63" s="92">
        <f t="shared" si="8"/>
        <v>0.13290102340310794</v>
      </c>
      <c r="K63" s="92">
        <f t="shared" si="8"/>
        <v>0.13144111389327709</v>
      </c>
      <c r="L63" s="92">
        <f t="shared" si="8"/>
        <v>0.13214187847043088</v>
      </c>
      <c r="M63" s="92">
        <f t="shared" si="8"/>
        <v>0.13310748614148862</v>
      </c>
    </row>
    <row r="64" spans="2:25">
      <c r="B64" s="77"/>
    </row>
    <row r="65" spans="2:13">
      <c r="B65" s="77" t="s">
        <v>164</v>
      </c>
      <c r="D65" s="78">
        <f>D41</f>
        <v>1.6047746239918206</v>
      </c>
      <c r="E65" s="78">
        <f>E41</f>
        <v>1.5357974417975711</v>
      </c>
      <c r="F65" s="78">
        <f>F41</f>
        <v>1.3922537229239842</v>
      </c>
      <c r="G65" s="78">
        <f>G41</f>
        <v>1.3563578624729069</v>
      </c>
      <c r="H65" s="78">
        <f>H41</f>
        <v>1.3714867277767187</v>
      </c>
      <c r="I65" s="78">
        <f t="shared" ref="I65:M65" si="9">I41</f>
        <v>0</v>
      </c>
      <c r="J65" s="78">
        <f t="shared" si="9"/>
        <v>0</v>
      </c>
      <c r="K65" s="78">
        <f t="shared" si="9"/>
        <v>0</v>
      </c>
      <c r="L65" s="78">
        <f t="shared" si="9"/>
        <v>0</v>
      </c>
      <c r="M65" s="78">
        <f t="shared" si="9"/>
        <v>0</v>
      </c>
    </row>
    <row r="66" spans="2:13">
      <c r="B66" s="77"/>
    </row>
    <row r="67" spans="2:13">
      <c r="B67" s="77" t="s">
        <v>174</v>
      </c>
      <c r="D67" s="78">
        <f>'Income Statement '!B6/Ratios!U49</f>
        <v>0.88712427170485941</v>
      </c>
      <c r="E67" s="78">
        <f>'Income Statement '!C6/Ratios!V49</f>
        <v>0.94252882422764817</v>
      </c>
      <c r="F67" s="78">
        <f>'Income Statement '!D6/Ratios!W49</f>
        <v>0.99141515344507103</v>
      </c>
      <c r="G67" s="78">
        <f>'Income Statement '!E6/Ratios!X49</f>
        <v>0.95159493670886097</v>
      </c>
      <c r="H67" s="78">
        <f>'Income Statement '!F6/Ratios!Y49</f>
        <v>0.83916373392994115</v>
      </c>
      <c r="I67" s="78" t="e">
        <f>'Income Statement '!G6/Ratios!Z49</f>
        <v>#DIV/0!</v>
      </c>
      <c r="J67" s="78" t="e">
        <f>'Income Statement '!H6/Ratios!AA49</f>
        <v>#DIV/0!</v>
      </c>
      <c r="K67" s="78" t="e">
        <f>'Income Statement '!I6/Ratios!AB49</f>
        <v>#DIV/0!</v>
      </c>
      <c r="L67" s="78" t="e">
        <f>'Income Statement '!J6/Ratios!AC49</f>
        <v>#DIV/0!</v>
      </c>
      <c r="M67" s="78" t="e">
        <f>'Income Statement '!K6/Ratios!AD49</f>
        <v>#DIV/0!</v>
      </c>
    </row>
    <row r="69" spans="2:13">
      <c r="B69" s="209" t="s">
        <v>171</v>
      </c>
      <c r="D69" s="92">
        <f>D63*D65*D67</f>
        <v>0.35410849941712391</v>
      </c>
      <c r="E69" s="92">
        <f>E63*E65*E67</f>
        <v>0.20400603536901041</v>
      </c>
      <c r="F69" s="92">
        <f>F63*F65*F67</f>
        <v>0.21412539445963297</v>
      </c>
      <c r="G69" s="92">
        <f>G63*G65*G67</f>
        <v>0.19784544345257943</v>
      </c>
      <c r="H69" s="92">
        <f>H63*H65*H67</f>
        <v>0.17680174059454476</v>
      </c>
      <c r="I69" s="92" t="e">
        <f t="shared" ref="I69:M69" si="10">I63*I65*I67</f>
        <v>#DIV/0!</v>
      </c>
      <c r="J69" s="92" t="e">
        <f t="shared" si="10"/>
        <v>#DIV/0!</v>
      </c>
      <c r="K69" s="92" t="e">
        <f t="shared" si="10"/>
        <v>#DIV/0!</v>
      </c>
      <c r="L69" s="92" t="e">
        <f t="shared" si="10"/>
        <v>#DIV/0!</v>
      </c>
      <c r="M69" s="92" t="e">
        <f t="shared" si="10"/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5EB5-C622-4033-9407-29FD1334AB57}">
  <dimension ref="A1:S308"/>
  <sheetViews>
    <sheetView showGridLines="0" zoomScale="90" zoomScaleNormal="90" workbookViewId="0">
      <pane xSplit="1" ySplit="1" topLeftCell="C287" activePane="bottomRight" state="frozen"/>
      <selection pane="topRight" activeCell="B1" sqref="B1"/>
      <selection pane="bottomLeft" activeCell="A2" sqref="A2"/>
      <selection pane="bottomRight" activeCell="D298" sqref="D298"/>
    </sheetView>
  </sheetViews>
  <sheetFormatPr defaultRowHeight="15"/>
  <cols>
    <col min="1" max="1" width="52.42578125" style="83" customWidth="1"/>
    <col min="2" max="2" width="7" hidden="1" customWidth="1"/>
    <col min="3" max="3" width="15.28515625" bestFit="1" customWidth="1"/>
    <col min="4" max="7" width="11.28515625" bestFit="1" customWidth="1"/>
    <col min="8" max="8" width="12.7109375" hidden="1" customWidth="1"/>
    <col min="9" max="9" width="12.28515625" hidden="1" customWidth="1"/>
    <col min="10" max="12" width="12.7109375" hidden="1" customWidth="1"/>
    <col min="13" max="13" width="9" hidden="1" customWidth="1"/>
    <col min="14" max="18" width="11.28515625" bestFit="1" customWidth="1"/>
    <col min="19" max="19" width="9" bestFit="1" customWidth="1"/>
  </cols>
  <sheetData>
    <row r="1" spans="1:13">
      <c r="A1" s="211" t="s">
        <v>0</v>
      </c>
      <c r="B1" s="210"/>
      <c r="C1" s="3">
        <v>2021</v>
      </c>
      <c r="D1" s="181">
        <f>C1+1</f>
        <v>2022</v>
      </c>
      <c r="E1" s="181">
        <f>D1+1</f>
        <v>2023</v>
      </c>
      <c r="F1" s="181">
        <f t="shared" ref="F1:M1" si="0">E1+1</f>
        <v>2024</v>
      </c>
      <c r="G1" s="181">
        <f t="shared" si="0"/>
        <v>2025</v>
      </c>
      <c r="H1" s="3">
        <f t="shared" si="0"/>
        <v>2026</v>
      </c>
      <c r="I1" s="3">
        <f t="shared" si="0"/>
        <v>2027</v>
      </c>
      <c r="J1" s="3">
        <f t="shared" si="0"/>
        <v>2028</v>
      </c>
      <c r="K1" s="3">
        <f t="shared" si="0"/>
        <v>2029</v>
      </c>
      <c r="L1" s="3">
        <f t="shared" si="0"/>
        <v>2030</v>
      </c>
      <c r="M1" s="3">
        <f t="shared" si="0"/>
        <v>2031</v>
      </c>
    </row>
    <row r="2" spans="1:13">
      <c r="A2" s="93" t="s">
        <v>215</v>
      </c>
      <c r="B2" s="1"/>
      <c r="C2" s="18">
        <f>'Income Statement '!B6</f>
        <v>13060.9</v>
      </c>
      <c r="D2" s="18">
        <f>'Income Statement '!C6</f>
        <v>15896.71</v>
      </c>
      <c r="E2" s="18">
        <f>'Income Statement '!D6</f>
        <v>19147.3</v>
      </c>
      <c r="F2" s="18">
        <f>'Income Statement '!E6</f>
        <v>22646.77</v>
      </c>
      <c r="G2" s="18">
        <f>'Income Statement '!F6</f>
        <v>24245.32</v>
      </c>
      <c r="H2" s="2">
        <f>'Income Statement '!G6</f>
        <v>25457.585999999999</v>
      </c>
      <c r="I2" s="2">
        <f>'Income Statement '!H6</f>
        <v>30695.906875000001</v>
      </c>
      <c r="J2" s="2">
        <f>'Income Statement '!I6</f>
        <v>34403.549761750008</v>
      </c>
      <c r="K2" s="2">
        <f>'Income Statement '!J6</f>
        <v>38567.63794924751</v>
      </c>
      <c r="L2" s="2">
        <f>'Income Statement '!K6</f>
        <v>43245.069498986588</v>
      </c>
      <c r="M2" s="2">
        <f>'Income Statement '!L6</f>
        <v>0</v>
      </c>
    </row>
    <row r="3" spans="1:13">
      <c r="A3" s="212" t="s">
        <v>216</v>
      </c>
      <c r="B3" s="29"/>
      <c r="C3" s="17"/>
      <c r="D3" s="22">
        <f>D2/C2-1</f>
        <v>0.21712209725210352</v>
      </c>
      <c r="E3" s="22">
        <f t="shared" ref="E3:M3" si="1">E2/D2-1</f>
        <v>0.20448193368313317</v>
      </c>
      <c r="F3" s="22">
        <f t="shared" si="1"/>
        <v>0.1827657163150942</v>
      </c>
      <c r="G3" s="22">
        <f t="shared" si="1"/>
        <v>7.0586224878868009E-2</v>
      </c>
      <c r="H3" s="8">
        <f t="shared" si="1"/>
        <v>5.0000000000000044E-2</v>
      </c>
      <c r="I3" s="8">
        <f t="shared" si="1"/>
        <v>0.20576659841196254</v>
      </c>
      <c r="J3" s="8">
        <f t="shared" si="1"/>
        <v>0.12078623061531579</v>
      </c>
      <c r="K3" s="8">
        <f t="shared" si="1"/>
        <v>0.1210365853621056</v>
      </c>
      <c r="L3" s="8">
        <f t="shared" si="1"/>
        <v>0.12127866258997422</v>
      </c>
      <c r="M3" s="8">
        <f t="shared" si="1"/>
        <v>-1</v>
      </c>
    </row>
    <row r="4" spans="1:13">
      <c r="A4" s="212"/>
      <c r="B4" s="29"/>
      <c r="C4" s="17"/>
      <c r="D4" s="17"/>
      <c r="E4" s="17"/>
      <c r="F4" s="17"/>
      <c r="G4" s="17"/>
    </row>
    <row r="5" spans="1:13">
      <c r="A5" s="93" t="s">
        <v>217</v>
      </c>
      <c r="B5" s="1"/>
      <c r="C5" s="18">
        <f>'Income Statement '!B16</f>
        <v>6880.43</v>
      </c>
      <c r="D5" s="18">
        <f>'Income Statement '!C16</f>
        <v>7165.670000000001</v>
      </c>
      <c r="E5" s="18">
        <f>'Income Statement '!D16</f>
        <v>7933.2900000000009</v>
      </c>
      <c r="F5" s="18">
        <f>'Income Statement '!E16</f>
        <v>10257.960000000001</v>
      </c>
      <c r="G5" s="18">
        <f>'Income Statement '!F16</f>
        <v>10396.310000000001</v>
      </c>
      <c r="H5" s="2">
        <f>'Income Statement '!G16</f>
        <v>11576.282324317326</v>
      </c>
      <c r="I5" s="2">
        <f>'Income Statement '!H16</f>
        <v>13958.29456044863</v>
      </c>
      <c r="J5" s="2">
        <f>'Income Statement '!I16</f>
        <v>15644.264346223488</v>
      </c>
      <c r="K5" s="2">
        <f>'Income Statement '!J16</f>
        <v>17537.792683192511</v>
      </c>
      <c r="L5" s="2">
        <f>'Income Statement '!K16</f>
        <v>19664.752724590337</v>
      </c>
      <c r="M5" s="2">
        <f>'Income Statement '!L16</f>
        <v>0</v>
      </c>
    </row>
    <row r="6" spans="1:13">
      <c r="A6" s="212" t="s">
        <v>218</v>
      </c>
      <c r="B6" s="29"/>
      <c r="C6" s="17"/>
      <c r="D6" s="22">
        <f>D5/C5-1</f>
        <v>4.1456711281126379E-2</v>
      </c>
      <c r="E6" s="22">
        <f t="shared" ref="E6:M6" si="2">E5/D5-1</f>
        <v>0.10712466524414332</v>
      </c>
      <c r="F6" s="22">
        <f t="shared" si="2"/>
        <v>0.29302723082100868</v>
      </c>
      <c r="G6" s="22">
        <f t="shared" si="2"/>
        <v>1.3487087101138995E-2</v>
      </c>
      <c r="H6" s="8">
        <f t="shared" si="2"/>
        <v>0.11349914770888181</v>
      </c>
      <c r="I6" s="8">
        <f t="shared" si="2"/>
        <v>0.20576659841196254</v>
      </c>
      <c r="J6" s="8">
        <f t="shared" si="2"/>
        <v>0.12078623061531601</v>
      </c>
      <c r="K6" s="8">
        <f t="shared" si="2"/>
        <v>0.12103658536210538</v>
      </c>
      <c r="L6" s="8">
        <f t="shared" si="2"/>
        <v>0.12127866258997444</v>
      </c>
      <c r="M6" s="8">
        <f t="shared" si="2"/>
        <v>-1</v>
      </c>
    </row>
    <row r="7" spans="1:13">
      <c r="A7" s="212"/>
      <c r="B7" s="29"/>
      <c r="C7" s="17"/>
      <c r="D7" s="17"/>
      <c r="E7" s="17"/>
      <c r="F7" s="17"/>
      <c r="G7" s="17"/>
    </row>
    <row r="8" spans="1:13">
      <c r="A8" s="93" t="s">
        <v>91</v>
      </c>
      <c r="B8" s="1"/>
      <c r="C8" s="18">
        <f>'Income Statement '!B54</f>
        <v>4492.579999999999</v>
      </c>
      <c r="D8" s="18">
        <f>'Income Statement '!C54</f>
        <v>4096.8499999999967</v>
      </c>
      <c r="E8" s="18">
        <f>'Income Statement '!D54</f>
        <v>5541.5499999999984</v>
      </c>
      <c r="F8" s="18">
        <f>'Income Statement '!E54</f>
        <v>6180.16</v>
      </c>
      <c r="G8" s="18">
        <f>'Income Statement '!F54</f>
        <v>6470.1499999999969</v>
      </c>
      <c r="H8" s="2">
        <f>'Income Statement '!G54</f>
        <v>6109.8206399999999</v>
      </c>
      <c r="I8" s="2">
        <f>'Income Statement '!H54</f>
        <v>7367.0176499999998</v>
      </c>
      <c r="J8" s="2">
        <f>'Income Statement '!I54</f>
        <v>8256.8519428200016</v>
      </c>
      <c r="K8" s="2">
        <f>'Income Statement '!J54</f>
        <v>9256.233107819402</v>
      </c>
      <c r="L8" s="2">
        <f>'Income Statement '!K54</f>
        <v>10378.816679756781</v>
      </c>
      <c r="M8" s="2">
        <f>'Income Statement '!L54</f>
        <v>0</v>
      </c>
    </row>
    <row r="9" spans="1:13">
      <c r="A9" s="212" t="s">
        <v>219</v>
      </c>
      <c r="B9" s="29"/>
      <c r="C9" s="17"/>
      <c r="D9" s="22">
        <f t="shared" ref="D9:M9" si="3">D8/C8-1</f>
        <v>-8.8085242778092376E-2</v>
      </c>
      <c r="E9" s="22">
        <f t="shared" si="3"/>
        <v>0.35263678191781556</v>
      </c>
      <c r="F9" s="22">
        <f t="shared" si="3"/>
        <v>0.11524032084886038</v>
      </c>
      <c r="G9" s="22">
        <f t="shared" si="3"/>
        <v>4.6922733392015248E-2</v>
      </c>
      <c r="H9" s="8">
        <f t="shared" si="3"/>
        <v>-5.5691036529291749E-2</v>
      </c>
      <c r="I9" s="8">
        <f t="shared" si="3"/>
        <v>0.20576659841196254</v>
      </c>
      <c r="J9" s="8">
        <f t="shared" si="3"/>
        <v>0.12078623061531579</v>
      </c>
      <c r="K9" s="8">
        <f t="shared" si="3"/>
        <v>0.1210365853621056</v>
      </c>
      <c r="L9" s="8">
        <f t="shared" si="3"/>
        <v>0.12127866258997444</v>
      </c>
      <c r="M9" s="8">
        <f t="shared" si="3"/>
        <v>-1</v>
      </c>
    </row>
    <row r="10" spans="1:13">
      <c r="A10" s="212"/>
      <c r="B10" s="29"/>
      <c r="C10" s="17"/>
      <c r="D10" s="17"/>
      <c r="E10" s="17"/>
      <c r="F10" s="17"/>
      <c r="G10" s="17"/>
    </row>
    <row r="11" spans="1:13">
      <c r="A11" s="93" t="s">
        <v>220</v>
      </c>
      <c r="B11" s="1"/>
      <c r="C11" s="18">
        <f>'Income Statement '!B85</f>
        <v>3248.7099999999991</v>
      </c>
      <c r="D11" s="18">
        <f>'Income Statement '!C85</f>
        <v>2240.3799999999965</v>
      </c>
      <c r="E11" s="18">
        <f>'Income Statement '!D85</f>
        <v>2970.3099999999981</v>
      </c>
      <c r="F11" s="18">
        <f>'Income Statement '!E85</f>
        <v>3471.41</v>
      </c>
      <c r="G11" s="18">
        <f>'Income Statement '!F85</f>
        <v>3724.569999999997</v>
      </c>
      <c r="H11" s="2">
        <f>'Income Statement '!G85</f>
        <v>3347.5662982553622</v>
      </c>
      <c r="I11" s="2">
        <f>'Income Statement '!H85</f>
        <v>4079.5174379739974</v>
      </c>
      <c r="J11" s="2">
        <f>'Income Statement '!I85</f>
        <v>4522.0409025672088</v>
      </c>
      <c r="K11" s="2">
        <f>'Income Statement '!J85</f>
        <v>5096.4001267810427</v>
      </c>
      <c r="L11" s="2">
        <f>'Income Statement '!K85</f>
        <v>5756.2424890240691</v>
      </c>
      <c r="M11" s="2">
        <f>'Income Statement '!L85</f>
        <v>0</v>
      </c>
    </row>
    <row r="12" spans="1:13">
      <c r="A12" s="212" t="s">
        <v>221</v>
      </c>
      <c r="B12" s="29"/>
      <c r="C12" s="17"/>
      <c r="D12" s="22">
        <f t="shared" ref="D12:M12" si="4">D11/C11-1</f>
        <v>-0.31037858103678162</v>
      </c>
      <c r="E12" s="22">
        <f t="shared" si="4"/>
        <v>0.32580633642507206</v>
      </c>
      <c r="F12" s="22">
        <f t="shared" si="4"/>
        <v>0.16870292999720626</v>
      </c>
      <c r="G12" s="22">
        <f t="shared" si="4"/>
        <v>7.2927139116381268E-2</v>
      </c>
      <c r="H12" s="8">
        <f t="shared" si="4"/>
        <v>-0.10122073198909809</v>
      </c>
      <c r="I12" s="8">
        <f t="shared" si="4"/>
        <v>0.21865172322355586</v>
      </c>
      <c r="J12" s="8">
        <f t="shared" si="4"/>
        <v>0.10847446329656596</v>
      </c>
      <c r="K12" s="8">
        <f t="shared" si="4"/>
        <v>0.12701327488828418</v>
      </c>
      <c r="L12" s="8">
        <f t="shared" si="4"/>
        <v>0.12947224429565973</v>
      </c>
      <c r="M12" s="8">
        <f t="shared" si="4"/>
        <v>-1</v>
      </c>
    </row>
    <row r="13" spans="1:13">
      <c r="C13" s="17"/>
      <c r="D13" s="17"/>
      <c r="E13" s="17"/>
      <c r="F13" s="17"/>
      <c r="G13" s="17"/>
    </row>
    <row r="14" spans="1:13">
      <c r="A14" s="93" t="s">
        <v>222</v>
      </c>
      <c r="B14" s="1"/>
      <c r="C14" s="18">
        <f>-'Income Statement '!B78</f>
        <v>-57.54000000000002</v>
      </c>
      <c r="D14" s="18">
        <f>-'Income Statement '!C78</f>
        <v>-54.92</v>
      </c>
      <c r="E14" s="18">
        <f>-'Income Statement '!D78</f>
        <v>-77.220000000000013</v>
      </c>
      <c r="F14" s="18">
        <f>-'Income Statement '!E78</f>
        <v>18.100000000000023</v>
      </c>
      <c r="G14" s="18">
        <f>-'Income Statement '!F78</f>
        <v>102.12000000000003</v>
      </c>
      <c r="H14" s="2">
        <f>'Income Statement '!G78</f>
        <v>-105.81160533665232</v>
      </c>
      <c r="I14" s="2">
        <f>SUM(I11:I13)</f>
        <v>4079.7360896972209</v>
      </c>
      <c r="J14" s="2">
        <f>SUM(J11:J13)</f>
        <v>4522.1493770305051</v>
      </c>
      <c r="K14" s="2">
        <f>SUM(K11:K13)</f>
        <v>5096.5271400559313</v>
      </c>
      <c r="L14" s="2">
        <f>SUM(L11:L13)</f>
        <v>5756.3719612683644</v>
      </c>
      <c r="M14">
        <f>SUM(M11:M13)</f>
        <v>-1</v>
      </c>
    </row>
    <row r="15" spans="1:13">
      <c r="A15" s="213" t="s">
        <v>223</v>
      </c>
      <c r="B15" s="6"/>
      <c r="C15" s="17"/>
      <c r="D15" s="22">
        <f>D14/C14-1</f>
        <v>-4.5533541883907125E-2</v>
      </c>
      <c r="E15" s="22">
        <f>E14/D14-1</f>
        <v>0.40604515659140583</v>
      </c>
      <c r="F15" s="22">
        <f>F14/E14-1</f>
        <v>-1.2343952343952347</v>
      </c>
      <c r="G15" s="22">
        <f>G14/F14-1</f>
        <v>4.6419889502762377</v>
      </c>
      <c r="H15" s="8">
        <f>H14/G14-1</f>
        <v>-2.0361496801473979</v>
      </c>
    </row>
    <row r="16" spans="1:13">
      <c r="A16" s="83" t="s">
        <v>224</v>
      </c>
      <c r="C16" s="22">
        <f>(C14/'Income Statement '!B6)</f>
        <v>-4.4055156995306622E-3</v>
      </c>
      <c r="D16" s="22">
        <f>(D14/'Income Statement '!C6)</f>
        <v>-3.4548029120490971E-3</v>
      </c>
      <c r="E16" s="22">
        <f>(E14/'Income Statement '!D6)</f>
        <v>-4.0329445927102005E-3</v>
      </c>
      <c r="F16" s="22">
        <f>(F14/'Income Statement '!E6)</f>
        <v>7.9923097201057907E-4</v>
      </c>
      <c r="G16" s="22">
        <f>(G14/'Income Statement '!F6)</f>
        <v>4.2119468829448338E-3</v>
      </c>
    </row>
    <row r="17" spans="1:7">
      <c r="A17" s="83" t="s">
        <v>225</v>
      </c>
      <c r="C17" s="22">
        <f>C14/'Income Statement '!B85</f>
        <v>-1.7711645545462673E-2</v>
      </c>
      <c r="D17" s="22">
        <f>D14/'Income Statement '!C85</f>
        <v>-2.4513698568992801E-2</v>
      </c>
      <c r="E17" s="22">
        <f>E14/'Income Statement '!D85</f>
        <v>-2.5997286478515732E-2</v>
      </c>
      <c r="F17" s="36">
        <f>F14/'Income Statement '!E85</f>
        <v>5.2140196634796881E-3</v>
      </c>
      <c r="G17" s="22">
        <f>G14/'Income Statement '!F85</f>
        <v>2.7417930123477371E-2</v>
      </c>
    </row>
    <row r="18" spans="1:7">
      <c r="C18" s="17"/>
      <c r="D18" s="17"/>
      <c r="E18" s="17"/>
      <c r="F18" s="17"/>
      <c r="G18" s="17"/>
    </row>
    <row r="19" spans="1:7">
      <c r="A19" s="93" t="s">
        <v>226</v>
      </c>
      <c r="B19" s="1"/>
      <c r="C19" s="17">
        <f>-'Income Statement '!B62</f>
        <v>60.03</v>
      </c>
      <c r="D19" s="17">
        <f>-'Income Statement '!C62</f>
        <v>34.85</v>
      </c>
      <c r="E19" s="17">
        <f>-'Income Statement '!D62</f>
        <v>58.12</v>
      </c>
      <c r="F19" s="17">
        <f>-'Income Statement '!E62</f>
        <v>136.59</v>
      </c>
      <c r="G19" s="17">
        <f>-'Income Statement '!F62</f>
        <v>202.66</v>
      </c>
    </row>
    <row r="20" spans="1:7">
      <c r="A20" s="83" t="s">
        <v>227</v>
      </c>
      <c r="C20" s="18">
        <f>'Balance Sheet'!C24</f>
        <v>1335.14</v>
      </c>
      <c r="D20" s="18">
        <f>'Balance Sheet'!D24</f>
        <v>396.74</v>
      </c>
      <c r="E20" s="18">
        <f>'Balance Sheet'!E24</f>
        <v>963.14</v>
      </c>
      <c r="F20" s="18">
        <f>'Balance Sheet'!F24</f>
        <v>1590.08</v>
      </c>
      <c r="G20" s="18">
        <f>'Balance Sheet'!G24</f>
        <v>2308.52</v>
      </c>
    </row>
    <row r="21" spans="1:7">
      <c r="A21" s="212" t="s">
        <v>228</v>
      </c>
      <c r="B21" s="29"/>
      <c r="C21" s="22">
        <f>C19/C20</f>
        <v>4.4961577063079523E-2</v>
      </c>
      <c r="D21" s="22">
        <f>D19/D20</f>
        <v>8.7840903362403591E-2</v>
      </c>
      <c r="E21" s="22">
        <f>E19/E20</f>
        <v>6.0344290549660486E-2</v>
      </c>
      <c r="F21" s="22">
        <f>F19/F20</f>
        <v>8.590133829744416E-2</v>
      </c>
      <c r="G21" s="22">
        <f>G19/G20</f>
        <v>8.7787846758962451E-2</v>
      </c>
    </row>
    <row r="22" spans="1:7">
      <c r="C22" s="17"/>
      <c r="D22" s="17"/>
      <c r="E22" s="17"/>
      <c r="F22" s="17"/>
      <c r="G22" s="17"/>
    </row>
    <row r="23" spans="1:7">
      <c r="A23" s="93" t="s">
        <v>229</v>
      </c>
      <c r="B23" s="1"/>
      <c r="C23" s="17">
        <f>'Income Statement '!B63</f>
        <v>76.599999999999994</v>
      </c>
      <c r="D23" s="17">
        <f>'Income Statement '!C63</f>
        <v>143.9</v>
      </c>
      <c r="E23" s="17">
        <f>'Income Statement '!D63</f>
        <v>196.15</v>
      </c>
      <c r="F23" s="17">
        <f>'Income Statement '!E63</f>
        <v>162.1</v>
      </c>
      <c r="G23" s="17">
        <f>'Income Statement '!F63</f>
        <v>181.97</v>
      </c>
    </row>
    <row r="24" spans="1:7">
      <c r="A24" s="83" t="s">
        <v>230</v>
      </c>
      <c r="C24" s="17">
        <f>'Balance Sheet'!C42+'Balance Sheet'!C48</f>
        <v>1266.3499999999999</v>
      </c>
      <c r="D24" s="17">
        <f>'Balance Sheet'!D42+'Balance Sheet'!D48</f>
        <v>1904.51</v>
      </c>
      <c r="E24" s="17">
        <f>'Balance Sheet'!E42+'Balance Sheet'!E48</f>
        <v>2033.36</v>
      </c>
      <c r="F24" s="17">
        <f>'Balance Sheet'!F42+'Balance Sheet'!F48</f>
        <v>1808.56</v>
      </c>
      <c r="G24" s="17">
        <f>'Balance Sheet'!G42+'Balance Sheet'!G48</f>
        <v>1895.34</v>
      </c>
    </row>
    <row r="25" spans="1:7">
      <c r="A25" s="212" t="s">
        <v>231</v>
      </c>
      <c r="B25" s="29"/>
      <c r="C25" s="22">
        <f>C23/C24</f>
        <v>6.0488806412129351E-2</v>
      </c>
      <c r="D25" s="22">
        <f>D23/D24</f>
        <v>7.555749247838027E-2</v>
      </c>
      <c r="E25" s="22">
        <f>E23/E24</f>
        <v>9.6465947987567385E-2</v>
      </c>
      <c r="F25" s="22">
        <f>F23/F24</f>
        <v>8.9629318352722614E-2</v>
      </c>
      <c r="G25" s="22">
        <f>G23/G24</f>
        <v>9.6009159306509648E-2</v>
      </c>
    </row>
    <row r="26" spans="1:7">
      <c r="C26" s="17"/>
      <c r="D26" s="17"/>
      <c r="E26" s="17"/>
      <c r="F26" s="17"/>
      <c r="G26" s="17"/>
    </row>
    <row r="27" spans="1:7">
      <c r="A27" s="93" t="s">
        <v>232</v>
      </c>
      <c r="B27" s="1"/>
      <c r="C27" s="17">
        <f>'Income Statement '!B77</f>
        <v>140.49</v>
      </c>
      <c r="D27" s="17">
        <f>'Income Statement '!C77</f>
        <v>99.17</v>
      </c>
      <c r="E27" s="17">
        <f>'Income Statement '!D77</f>
        <v>166.27</v>
      </c>
      <c r="F27" s="17">
        <f>'Income Statement '!E77</f>
        <v>185.46</v>
      </c>
      <c r="G27" s="17">
        <f>'Income Statement '!F77</f>
        <v>202.04</v>
      </c>
    </row>
    <row r="28" spans="1:7">
      <c r="A28" s="83" t="s">
        <v>233</v>
      </c>
      <c r="C28" s="17" t="str">
        <f>'Income Statement '!B46</f>
        <v>-</v>
      </c>
      <c r="D28" s="17">
        <f>'Income Statement '!C46</f>
        <v>2.38</v>
      </c>
      <c r="E28" s="17">
        <f>'Income Statement '!D46</f>
        <v>1.34</v>
      </c>
      <c r="F28" s="17" t="str">
        <f>'Income Statement '!E46</f>
        <v>-</v>
      </c>
      <c r="G28" s="17" t="str">
        <f>'Income Statement '!F46</f>
        <v>-</v>
      </c>
    </row>
    <row r="29" spans="1:7">
      <c r="A29" s="83" t="s">
        <v>234</v>
      </c>
      <c r="C29" s="18">
        <f>'Income Statement '!B54</f>
        <v>4492.579999999999</v>
      </c>
      <c r="D29" s="18">
        <f>'Income Statement '!C54</f>
        <v>4096.8499999999967</v>
      </c>
      <c r="E29" s="18">
        <f>'Income Statement '!D54</f>
        <v>5541.5499999999984</v>
      </c>
      <c r="F29" s="18">
        <f>'Income Statement '!E54</f>
        <v>6180.16</v>
      </c>
      <c r="G29" s="18">
        <f>'Income Statement '!F54</f>
        <v>6470.1499999999969</v>
      </c>
    </row>
    <row r="30" spans="1:7">
      <c r="A30" s="212" t="s">
        <v>235</v>
      </c>
      <c r="B30" s="29"/>
      <c r="C30" s="22">
        <f>C27/'Income Statement '!B4</f>
        <v>1.0756532857613183E-2</v>
      </c>
      <c r="D30" s="22">
        <f>D27/'Income Statement '!C4</f>
        <v>6.2383977565169148E-3</v>
      </c>
      <c r="E30" s="22">
        <f>E27/'Income Statement '!D4</f>
        <v>8.6837308654483924E-3</v>
      </c>
      <c r="F30" s="22">
        <f>F27/'Income Statement '!E4</f>
        <v>8.1892472966343544E-3</v>
      </c>
      <c r="G30" s="22">
        <f>G27/'Income Statement '!F4</f>
        <v>8.3331546046824696E-3</v>
      </c>
    </row>
    <row r="31" spans="1:7">
      <c r="A31" s="212" t="s">
        <v>236</v>
      </c>
      <c r="B31" s="35"/>
      <c r="C31" s="22">
        <f>C27/'Key Indicator'!C29</f>
        <v>3.12715633333185E-2</v>
      </c>
      <c r="D31" s="22">
        <f>D27/'Key Indicator'!D29</f>
        <v>2.420640247995413E-2</v>
      </c>
      <c r="E31" s="22">
        <f>E27/'Key Indicator'!E29</f>
        <v>3.0004240690781472E-2</v>
      </c>
      <c r="F31" s="22">
        <f>F27/'Key Indicator'!F29</f>
        <v>3.0008931807590743E-2</v>
      </c>
      <c r="G31" s="22">
        <f>G27/'Key Indicator'!G29</f>
        <v>3.1226478520590725E-2</v>
      </c>
    </row>
    <row r="32" spans="1:7">
      <c r="A32" s="212" t="s">
        <v>237</v>
      </c>
      <c r="B32" s="29"/>
      <c r="C32" s="17"/>
      <c r="D32" s="17"/>
      <c r="E32" s="17"/>
      <c r="F32" s="17"/>
      <c r="G32" s="17"/>
    </row>
    <row r="33" spans="1:7">
      <c r="C33" s="17"/>
      <c r="D33" s="17"/>
      <c r="E33" s="17"/>
      <c r="F33" s="17"/>
      <c r="G33" s="17"/>
    </row>
    <row r="34" spans="1:7">
      <c r="A34" s="93" t="s">
        <v>238</v>
      </c>
      <c r="B34" s="1"/>
      <c r="C34" s="218" t="s">
        <v>45</v>
      </c>
      <c r="D34" s="218" t="s">
        <v>45</v>
      </c>
      <c r="E34" s="218" t="s">
        <v>45</v>
      </c>
      <c r="F34" s="218" t="s">
        <v>45</v>
      </c>
      <c r="G34" s="218" t="s">
        <v>45</v>
      </c>
    </row>
    <row r="35" spans="1:7">
      <c r="A35" s="83" t="s">
        <v>239</v>
      </c>
      <c r="C35" s="17"/>
      <c r="D35" s="17"/>
      <c r="E35" s="17"/>
      <c r="F35" s="17"/>
      <c r="G35" s="17"/>
    </row>
    <row r="36" spans="1:7">
      <c r="A36" s="212" t="s">
        <v>240</v>
      </c>
      <c r="B36" s="29"/>
      <c r="C36" s="17"/>
      <c r="D36" s="17"/>
      <c r="E36" s="17"/>
      <c r="F36" s="17"/>
      <c r="G36" s="17"/>
    </row>
    <row r="37" spans="1:7">
      <c r="A37" s="213"/>
      <c r="B37" s="6"/>
      <c r="C37" s="17"/>
      <c r="D37" s="17"/>
      <c r="E37" s="17"/>
      <c r="F37" s="17"/>
      <c r="G37" s="17"/>
    </row>
    <row r="38" spans="1:7">
      <c r="A38" s="93" t="s">
        <v>241</v>
      </c>
      <c r="B38" s="34"/>
      <c r="C38" s="17">
        <v>111.27</v>
      </c>
      <c r="D38" s="17">
        <v>730.1</v>
      </c>
      <c r="E38" s="17">
        <v>160.25</v>
      </c>
      <c r="F38" s="17">
        <v>1826.94</v>
      </c>
      <c r="G38" s="17">
        <v>584.89</v>
      </c>
    </row>
    <row r="39" spans="1:7">
      <c r="A39" s="83" t="s">
        <v>98</v>
      </c>
      <c r="C39" s="18">
        <f>'Income Statement '!B85</f>
        <v>3248.7099999999991</v>
      </c>
      <c r="D39" s="18">
        <f>'Income Statement '!C85</f>
        <v>2240.3799999999965</v>
      </c>
      <c r="E39" s="18">
        <f>'Income Statement '!D85</f>
        <v>2970.3099999999981</v>
      </c>
      <c r="F39" s="18">
        <f>'Income Statement '!E85</f>
        <v>3471.41</v>
      </c>
      <c r="G39" s="18">
        <f>'Income Statement '!F85</f>
        <v>3724.569999999997</v>
      </c>
    </row>
    <row r="40" spans="1:7">
      <c r="A40" s="212" t="s">
        <v>242</v>
      </c>
      <c r="B40" s="29"/>
      <c r="C40" s="22">
        <f>C38/C39</f>
        <v>3.4250517897873319E-2</v>
      </c>
      <c r="D40" s="22">
        <f>D38/D39</f>
        <v>0.32588221640971671</v>
      </c>
      <c r="E40" s="22">
        <f>E38/E39</f>
        <v>5.3950597749056528E-2</v>
      </c>
      <c r="F40" s="36">
        <f>F38/F39</f>
        <v>0.52628182784516953</v>
      </c>
      <c r="G40" s="22">
        <f>G38/G39</f>
        <v>0.15703557726126788</v>
      </c>
    </row>
    <row r="41" spans="1:7">
      <c r="C41" s="17"/>
      <c r="D41" s="17"/>
      <c r="E41" s="17"/>
      <c r="F41" s="17"/>
      <c r="G41" s="17"/>
    </row>
    <row r="42" spans="1:7">
      <c r="A42" s="93" t="s">
        <v>243</v>
      </c>
      <c r="B42" s="1"/>
      <c r="C42" s="17">
        <v>2.4500000000000002</v>
      </c>
      <c r="D42" s="17">
        <v>2.5299999999999998</v>
      </c>
      <c r="E42" s="17">
        <v>4.75</v>
      </c>
      <c r="F42" s="17">
        <v>5.75</v>
      </c>
      <c r="G42" s="17">
        <v>9.5</v>
      </c>
    </row>
    <row r="43" spans="1:7">
      <c r="A43" s="93" t="s">
        <v>244</v>
      </c>
      <c r="B43" s="1"/>
      <c r="C43" s="17">
        <v>10.25</v>
      </c>
      <c r="D43" s="17">
        <v>14.35</v>
      </c>
      <c r="E43" s="17">
        <v>17.899999999999999</v>
      </c>
      <c r="F43" s="17">
        <v>22.22</v>
      </c>
      <c r="G43" s="17">
        <v>22.79</v>
      </c>
    </row>
    <row r="44" spans="1:7">
      <c r="A44" s="213" t="s">
        <v>245</v>
      </c>
      <c r="B44" s="6"/>
      <c r="C44" s="22">
        <f>C42/C43</f>
        <v>0.23902439024390246</v>
      </c>
      <c r="D44" s="22">
        <f>D42/D43</f>
        <v>0.17630662020905921</v>
      </c>
      <c r="E44" s="22">
        <f>E42/E43</f>
        <v>0.26536312849162014</v>
      </c>
      <c r="F44" s="22">
        <f>F42/F43</f>
        <v>0.25877587758775877</v>
      </c>
      <c r="G44" s="22">
        <f>G42/G43</f>
        <v>0.4168494953927161</v>
      </c>
    </row>
    <row r="45" spans="1:7">
      <c r="C45" s="17"/>
      <c r="D45" s="17"/>
      <c r="E45" s="17"/>
      <c r="F45" s="17"/>
      <c r="G45" s="17"/>
    </row>
    <row r="46" spans="1:7">
      <c r="A46" s="93" t="s">
        <v>246</v>
      </c>
      <c r="B46" s="1"/>
      <c r="C46" s="17"/>
      <c r="D46" s="17"/>
      <c r="E46" s="17"/>
      <c r="F46" s="17"/>
      <c r="G46" s="17"/>
    </row>
    <row r="47" spans="1:7">
      <c r="A47" s="83" t="s">
        <v>247</v>
      </c>
      <c r="C47" s="17">
        <f>'Income Statement '!B83</f>
        <v>589.24</v>
      </c>
      <c r="D47" s="17">
        <f>'Income Statement '!C83</f>
        <v>774.07</v>
      </c>
      <c r="E47" s="17">
        <f>'Income Statement '!D83</f>
        <v>1037.81</v>
      </c>
      <c r="F47" s="17">
        <f>'Income Statement '!E83</f>
        <v>1199.18</v>
      </c>
      <c r="G47" s="17">
        <f>'Income Statement '!F83</f>
        <v>1253.82</v>
      </c>
    </row>
    <row r="48" spans="1:7">
      <c r="A48" s="83" t="s">
        <v>248</v>
      </c>
      <c r="C48" s="17">
        <f>'Cash Flows'!B35</f>
        <v>-569.16</v>
      </c>
      <c r="D48" s="17">
        <f>'Cash Flows'!C35</f>
        <v>-975.82</v>
      </c>
      <c r="E48" s="17">
        <f>'Cash Flows'!D35</f>
        <v>-1084.98</v>
      </c>
      <c r="F48" s="17">
        <f>'Cash Flows'!E35</f>
        <v>-1227.57</v>
      </c>
      <c r="G48" s="17">
        <f>'Cash Flows'!F35</f>
        <v>-1129.04</v>
      </c>
    </row>
    <row r="49" spans="1:7">
      <c r="A49" s="212" t="s">
        <v>249</v>
      </c>
      <c r="B49" s="29"/>
      <c r="C49" s="219">
        <f>C47+C48</f>
        <v>20.080000000000041</v>
      </c>
      <c r="D49" s="219">
        <f>D47+D48</f>
        <v>-201.75</v>
      </c>
      <c r="E49" s="17">
        <f>E47+E48</f>
        <v>-47.170000000000073</v>
      </c>
      <c r="F49" s="219">
        <f>F47+F48</f>
        <v>-28.389999999999873</v>
      </c>
      <c r="G49" s="17">
        <f>G47+G48</f>
        <v>124.77999999999997</v>
      </c>
    </row>
    <row r="50" spans="1:7">
      <c r="C50" s="17"/>
      <c r="D50" s="17"/>
      <c r="E50" s="17"/>
      <c r="F50" s="17"/>
      <c r="G50" s="17"/>
    </row>
    <row r="51" spans="1:7">
      <c r="A51" s="83" t="s">
        <v>250</v>
      </c>
      <c r="C51" s="17"/>
      <c r="D51" s="17"/>
      <c r="E51" s="17"/>
      <c r="F51" s="17"/>
      <c r="G51" s="17"/>
    </row>
    <row r="52" spans="1:7">
      <c r="A52" s="83" t="s">
        <v>251</v>
      </c>
      <c r="C52" s="17"/>
      <c r="D52" s="17"/>
      <c r="E52" s="17"/>
      <c r="F52" s="17"/>
      <c r="G52" s="17"/>
    </row>
    <row r="53" spans="1:7">
      <c r="A53" s="83" t="s">
        <v>252</v>
      </c>
      <c r="C53" s="17"/>
      <c r="D53" s="17"/>
      <c r="E53" s="17"/>
      <c r="F53" s="17"/>
      <c r="G53" s="17"/>
    </row>
    <row r="54" spans="1:7">
      <c r="C54" s="17"/>
      <c r="D54" s="17"/>
      <c r="E54" s="17"/>
      <c r="F54" s="17"/>
      <c r="G54" s="17"/>
    </row>
    <row r="55" spans="1:7">
      <c r="A55" s="93" t="s">
        <v>253</v>
      </c>
      <c r="B55" s="1"/>
      <c r="C55" s="17">
        <f>6.57+0.18</f>
        <v>6.75</v>
      </c>
      <c r="D55" s="17">
        <f>9.97+0.03+2.38</f>
        <v>12.379999999999999</v>
      </c>
      <c r="E55" s="17">
        <f>12.03+0.96+1.34</f>
        <v>14.329999999999998</v>
      </c>
      <c r="F55" s="17">
        <f>12.72+1</f>
        <v>13.72</v>
      </c>
      <c r="G55" s="17">
        <f>13.82+0.9</f>
        <v>14.72</v>
      </c>
    </row>
    <row r="56" spans="1:7">
      <c r="A56" s="212" t="s">
        <v>254</v>
      </c>
      <c r="B56" s="29"/>
      <c r="C56" s="17"/>
      <c r="D56" s="36">
        <f>D55/C55-1</f>
        <v>0.83407407407407397</v>
      </c>
      <c r="E56" s="22">
        <f>E55/D55-1</f>
        <v>0.15751211631663975</v>
      </c>
      <c r="F56" s="22">
        <f>F55/E55-1</f>
        <v>-4.2568039078855424E-2</v>
      </c>
      <c r="G56" s="22">
        <f>G55/F55-1</f>
        <v>7.2886297376093312E-2</v>
      </c>
    </row>
    <row r="57" spans="1:7">
      <c r="A57" s="212" t="s">
        <v>255</v>
      </c>
      <c r="B57" s="29"/>
      <c r="C57" s="17"/>
      <c r="D57" s="22">
        <f>D3</f>
        <v>0.21712209725210352</v>
      </c>
      <c r="E57" s="22">
        <f>E3</f>
        <v>0.20448193368313317</v>
      </c>
      <c r="F57" s="22">
        <f>F3</f>
        <v>0.1827657163150942</v>
      </c>
      <c r="G57" s="22">
        <f>G3</f>
        <v>7.0586224878868009E-2</v>
      </c>
    </row>
    <row r="58" spans="1:7">
      <c r="A58" s="213"/>
      <c r="B58" s="6"/>
      <c r="C58" s="17"/>
      <c r="D58" s="17"/>
      <c r="E58" s="17"/>
      <c r="F58" s="17"/>
      <c r="G58" s="17"/>
    </row>
    <row r="59" spans="1:7">
      <c r="A59" s="93" t="s">
        <v>256</v>
      </c>
      <c r="B59" s="1"/>
      <c r="C59" s="17">
        <v>6.57</v>
      </c>
      <c r="D59" s="17">
        <v>9.9700000000000006</v>
      </c>
      <c r="E59" s="17">
        <v>12.03</v>
      </c>
      <c r="F59" s="17">
        <v>12.72</v>
      </c>
      <c r="G59" s="17">
        <v>13.82</v>
      </c>
    </row>
    <row r="60" spans="1:7">
      <c r="A60" s="212" t="s">
        <v>257</v>
      </c>
      <c r="B60" s="29"/>
      <c r="C60" s="22">
        <f>C59/C55</f>
        <v>0.97333333333333338</v>
      </c>
      <c r="D60" s="22">
        <f>D59/D55</f>
        <v>0.80533117932148635</v>
      </c>
      <c r="E60" s="22">
        <f>E59/E55</f>
        <v>0.83949755757152833</v>
      </c>
      <c r="F60" s="22">
        <f>F59/F55</f>
        <v>0.92711370262390669</v>
      </c>
      <c r="G60" s="22">
        <f>G59/G55</f>
        <v>0.93885869565217395</v>
      </c>
    </row>
    <row r="61" spans="1:7">
      <c r="A61" s="83" t="s">
        <v>258</v>
      </c>
      <c r="C61" s="17"/>
      <c r="D61" s="17"/>
      <c r="E61" s="17"/>
      <c r="F61" s="17"/>
      <c r="G61" s="17"/>
    </row>
    <row r="62" spans="1:7">
      <c r="C62" s="17"/>
      <c r="D62" s="17"/>
      <c r="E62" s="17"/>
      <c r="F62" s="17"/>
      <c r="G62" s="17"/>
    </row>
    <row r="63" spans="1:7">
      <c r="C63" s="17"/>
      <c r="D63" s="17"/>
      <c r="E63" s="17"/>
      <c r="F63" s="17"/>
      <c r="G63" s="17"/>
    </row>
    <row r="64" spans="1:7">
      <c r="C64" s="17"/>
      <c r="D64" s="17"/>
      <c r="E64" s="17"/>
      <c r="F64" s="17"/>
      <c r="G64" s="17"/>
    </row>
    <row r="65" spans="1:19">
      <c r="A65" s="83" t="s">
        <v>215</v>
      </c>
      <c r="C65" s="18">
        <f>'Income Statement '!B6</f>
        <v>13060.9</v>
      </c>
      <c r="D65" s="18">
        <f>'Income Statement '!C6</f>
        <v>15896.71</v>
      </c>
      <c r="E65" s="18">
        <f>'Income Statement '!D6</f>
        <v>19147.3</v>
      </c>
      <c r="F65" s="18">
        <f>'Income Statement '!E6</f>
        <v>22646.77</v>
      </c>
      <c r="G65" s="18">
        <f>'Income Statement '!F6</f>
        <v>24245.32</v>
      </c>
    </row>
    <row r="66" spans="1:19">
      <c r="A66" s="83" t="s">
        <v>216</v>
      </c>
      <c r="C66" s="17"/>
      <c r="D66" s="22">
        <f>D65/C65-1</f>
        <v>0.21712209725210352</v>
      </c>
      <c r="E66" s="22">
        <f>E65/D65-1</f>
        <v>0.20448193368313317</v>
      </c>
      <c r="F66" s="22">
        <f>F65/E65-1</f>
        <v>0.1827657163150942</v>
      </c>
      <c r="G66" s="22">
        <f>G65/F65-1</f>
        <v>7.0586224878868009E-2</v>
      </c>
    </row>
    <row r="67" spans="1:19">
      <c r="C67" s="17"/>
      <c r="D67" s="17"/>
      <c r="E67" s="17"/>
      <c r="F67" s="17"/>
      <c r="G67" s="17"/>
    </row>
    <row r="68" spans="1:19">
      <c r="A68" s="93" t="s">
        <v>259</v>
      </c>
      <c r="B68" s="1"/>
      <c r="C68" s="18">
        <f>'Balance Sheet'!C23</f>
        <v>5007.1899999999996</v>
      </c>
      <c r="D68" s="18">
        <f>'Balance Sheet'!D23</f>
        <v>4269.95</v>
      </c>
      <c r="E68" s="18">
        <f>'Balance Sheet'!E23</f>
        <v>5260.03</v>
      </c>
      <c r="F68" s="18">
        <f>'Balance Sheet'!F23</f>
        <v>7197.13</v>
      </c>
      <c r="G68" s="18">
        <f>'Balance Sheet'!G23</f>
        <v>8145.55</v>
      </c>
    </row>
    <row r="69" spans="1:19">
      <c r="A69" s="212" t="s">
        <v>260</v>
      </c>
      <c r="B69" s="29"/>
      <c r="C69" s="17"/>
      <c r="D69" s="36">
        <f>D68/C68-1</f>
        <v>-0.14723627423764618</v>
      </c>
      <c r="E69" s="36">
        <f>E68/D68-1</f>
        <v>0.23187156758275851</v>
      </c>
      <c r="F69" s="36">
        <f>F68/E68-1</f>
        <v>0.36826786159014313</v>
      </c>
      <c r="G69" s="36">
        <f>G68/F68-1</f>
        <v>0.13177752798685027</v>
      </c>
    </row>
    <row r="70" spans="1:19">
      <c r="A70" s="212"/>
      <c r="B70" s="29"/>
      <c r="C70" s="17"/>
      <c r="D70" s="17"/>
      <c r="E70" s="17"/>
      <c r="F70" s="17"/>
      <c r="G70" s="17"/>
    </row>
    <row r="71" spans="1:19">
      <c r="A71" s="83" t="s">
        <v>261</v>
      </c>
      <c r="C71" s="17"/>
      <c r="D71" s="17"/>
      <c r="E71" s="17"/>
      <c r="F71" s="17"/>
      <c r="G71" s="17"/>
    </row>
    <row r="72" spans="1:19">
      <c r="A72" s="212" t="s">
        <v>262</v>
      </c>
      <c r="B72" s="29"/>
      <c r="C72" s="17"/>
      <c r="D72" s="17"/>
      <c r="E72" s="17"/>
      <c r="F72" s="17"/>
      <c r="G72" s="17"/>
    </row>
    <row r="73" spans="1:19">
      <c r="A73" s="213"/>
      <c r="B73" s="6"/>
      <c r="C73" s="17"/>
      <c r="D73" s="17"/>
      <c r="E73" s="17"/>
      <c r="F73" s="17"/>
      <c r="G73" s="17"/>
    </row>
    <row r="74" spans="1:19">
      <c r="A74" s="93" t="s">
        <v>263</v>
      </c>
      <c r="B74" s="1"/>
      <c r="C74" s="17"/>
      <c r="D74" s="17"/>
      <c r="E74" s="17"/>
      <c r="F74" s="17"/>
      <c r="G74" s="17"/>
    </row>
    <row r="75" spans="1:19">
      <c r="C75" s="17"/>
      <c r="D75" s="17"/>
      <c r="E75" s="17"/>
      <c r="F75" s="17"/>
      <c r="G75" s="17"/>
      <c r="I75" s="66">
        <v>2024</v>
      </c>
      <c r="J75" s="65"/>
      <c r="K75" s="66">
        <v>2025</v>
      </c>
      <c r="L75" s="65"/>
      <c r="N75" s="62">
        <v>2021</v>
      </c>
      <c r="O75" s="65"/>
      <c r="P75" s="66">
        <v>2022</v>
      </c>
      <c r="Q75" s="65"/>
      <c r="R75" s="66">
        <v>2023</v>
      </c>
      <c r="S75" s="65"/>
    </row>
    <row r="76" spans="1:19">
      <c r="C76" s="17"/>
      <c r="D76" s="17"/>
      <c r="E76" s="17"/>
      <c r="F76" s="17"/>
      <c r="G76" s="17"/>
      <c r="I76" s="19" t="s">
        <v>140</v>
      </c>
      <c r="J76" s="17" t="s">
        <v>141</v>
      </c>
      <c r="K76" s="19" t="s">
        <v>140</v>
      </c>
      <c r="L76" s="17" t="s">
        <v>141</v>
      </c>
      <c r="N76" t="s">
        <v>140</v>
      </c>
      <c r="O76" s="17" t="s">
        <v>141</v>
      </c>
      <c r="P76" s="19" t="s">
        <v>140</v>
      </c>
      <c r="Q76" s="17" t="s">
        <v>141</v>
      </c>
      <c r="R76" s="19" t="s">
        <v>140</v>
      </c>
      <c r="S76" s="17" t="s">
        <v>141</v>
      </c>
    </row>
    <row r="77" spans="1:19">
      <c r="A77" s="83" t="s">
        <v>134</v>
      </c>
      <c r="C77" s="17"/>
      <c r="D77" s="17"/>
      <c r="E77" s="17"/>
      <c r="F77" s="17"/>
      <c r="G77" s="17"/>
      <c r="I77" s="20">
        <v>2601.36</v>
      </c>
      <c r="J77" s="17"/>
      <c r="K77" s="20">
        <v>2726.87</v>
      </c>
      <c r="L77" s="17"/>
      <c r="N77" s="2">
        <v>1516.24</v>
      </c>
      <c r="O77" s="17"/>
      <c r="P77" s="20">
        <v>1782.49</v>
      </c>
      <c r="Q77" s="17"/>
      <c r="R77" s="20">
        <v>2336.16</v>
      </c>
      <c r="S77" s="17"/>
    </row>
    <row r="78" spans="1:19">
      <c r="A78" s="83" t="s">
        <v>133</v>
      </c>
      <c r="C78" s="17"/>
      <c r="D78" s="17"/>
      <c r="E78" s="17"/>
      <c r="F78" s="17"/>
      <c r="G78" s="17"/>
      <c r="I78" s="20">
        <v>2486.54</v>
      </c>
      <c r="J78" s="17"/>
      <c r="K78" s="20">
        <v>2850.81</v>
      </c>
      <c r="L78" s="17"/>
      <c r="N78">
        <v>875.89</v>
      </c>
      <c r="O78" s="17"/>
      <c r="P78" s="19">
        <v>693.01</v>
      </c>
      <c r="Q78" s="17"/>
      <c r="R78" s="20">
        <v>1497.54</v>
      </c>
      <c r="S78" s="17"/>
    </row>
    <row r="79" spans="1:19">
      <c r="A79" s="83" t="s">
        <v>135</v>
      </c>
      <c r="C79" s="17"/>
      <c r="D79" s="17"/>
      <c r="E79" s="17"/>
      <c r="F79" s="17"/>
      <c r="G79" s="17"/>
      <c r="I79" s="20">
        <v>2006.7</v>
      </c>
      <c r="J79" s="17"/>
      <c r="K79" s="20">
        <v>2212.5500000000002</v>
      </c>
      <c r="L79" s="17">
        <v>18.54</v>
      </c>
      <c r="N79" s="2">
        <v>1725.64</v>
      </c>
      <c r="O79" s="17"/>
      <c r="P79" s="20">
        <v>2012.1</v>
      </c>
      <c r="Q79" s="17">
        <v>20.5</v>
      </c>
      <c r="R79" s="20">
        <f>1500.69+0.5+18.34</f>
        <v>1519.53</v>
      </c>
      <c r="S79" s="17"/>
    </row>
    <row r="80" spans="1:19">
      <c r="A80" s="83" t="s">
        <v>136</v>
      </c>
      <c r="C80" s="17"/>
      <c r="D80" s="17"/>
      <c r="E80" s="17"/>
      <c r="F80" s="17"/>
      <c r="G80" s="17"/>
      <c r="I80" s="19">
        <v>883.75</v>
      </c>
      <c r="J80" s="17"/>
      <c r="K80" s="19">
        <v>559.44000000000005</v>
      </c>
      <c r="L80" s="17">
        <v>33.369999999999997</v>
      </c>
      <c r="N80">
        <v>399.51</v>
      </c>
      <c r="O80" s="17"/>
      <c r="P80" s="19">
        <v>411</v>
      </c>
      <c r="Q80" s="17">
        <v>31.26</v>
      </c>
      <c r="R80" s="19">
        <f>529.5+0.55+148.93</f>
        <v>678.98</v>
      </c>
      <c r="S80" s="17"/>
    </row>
    <row r="81" spans="1:19">
      <c r="A81" s="83" t="s">
        <v>137</v>
      </c>
      <c r="C81" s="17"/>
      <c r="D81" s="17"/>
      <c r="E81" s="17"/>
      <c r="F81" s="17"/>
      <c r="G81" s="17"/>
      <c r="I81" s="19">
        <v>191.9</v>
      </c>
      <c r="J81" s="17"/>
      <c r="K81" s="19">
        <v>177.94</v>
      </c>
      <c r="L81" s="17">
        <v>39.020000000000003</v>
      </c>
      <c r="N81">
        <f>362.03+199.53</f>
        <v>561.55999999999995</v>
      </c>
      <c r="O81" s="17">
        <v>26</v>
      </c>
      <c r="P81" s="19">
        <f>144.69+321.39</f>
        <v>466.08</v>
      </c>
      <c r="Q81" s="17">
        <v>0.69</v>
      </c>
      <c r="R81" s="19">
        <f>99.71+12.68</f>
        <v>112.38999999999999</v>
      </c>
      <c r="S81" s="17">
        <f>10.25+10.25</f>
        <v>20.5</v>
      </c>
    </row>
    <row r="82" spans="1:19">
      <c r="A82" s="83" t="s">
        <v>138</v>
      </c>
      <c r="C82" s="17"/>
      <c r="D82" s="17"/>
      <c r="E82" s="17"/>
      <c r="F82" s="17"/>
      <c r="G82" s="17"/>
      <c r="I82" s="19">
        <v>47.81</v>
      </c>
      <c r="J82" s="17">
        <f>11.34+11.34</f>
        <v>22.68</v>
      </c>
      <c r="K82" s="19">
        <v>0.97</v>
      </c>
      <c r="L82" s="17"/>
      <c r="N82">
        <f>90.08+60.69</f>
        <v>150.76999999999998</v>
      </c>
      <c r="O82" s="17"/>
      <c r="P82" s="19">
        <f>73.88+122.51</f>
        <v>196.39</v>
      </c>
      <c r="Q82" s="17">
        <f>0.02+27.14</f>
        <v>27.16</v>
      </c>
      <c r="R82" s="19">
        <f>61.25+0.21</f>
        <v>61.46</v>
      </c>
      <c r="S82" s="17">
        <f>15.65+15.65</f>
        <v>31.3</v>
      </c>
    </row>
    <row r="83" spans="1:19">
      <c r="A83" s="83" t="s">
        <v>139</v>
      </c>
      <c r="C83" s="17"/>
      <c r="D83" s="17"/>
      <c r="E83" s="17"/>
      <c r="F83" s="17"/>
      <c r="G83" s="17"/>
      <c r="I83" s="19">
        <v>9.0399999999999991</v>
      </c>
      <c r="J83" s="17">
        <f>44.36+225.73</f>
        <v>270.08999999999997</v>
      </c>
      <c r="K83" s="19">
        <v>0.09</v>
      </c>
      <c r="L83" s="17">
        <f>55.7+237.07</f>
        <v>292.77</v>
      </c>
      <c r="N83">
        <f>76.03+9.51</f>
        <v>85.54</v>
      </c>
      <c r="O83" s="17">
        <f>159.54+92.86</f>
        <v>252.39999999999998</v>
      </c>
      <c r="P83" s="19">
        <f>21.35+13.4</f>
        <v>34.75</v>
      </c>
      <c r="Q83" s="17">
        <f>159.54+92.86</f>
        <v>252.39999999999998</v>
      </c>
      <c r="R83" s="19">
        <f>78.41+11.13</f>
        <v>89.539999999999992</v>
      </c>
      <c r="S83" s="17">
        <f>29.77+211.17</f>
        <v>240.94</v>
      </c>
    </row>
    <row r="84" spans="1:19">
      <c r="A84" s="83" t="s">
        <v>24</v>
      </c>
      <c r="C84" s="17"/>
      <c r="D84" s="17"/>
      <c r="E84" s="17"/>
      <c r="F84" s="17"/>
      <c r="G84" s="17"/>
      <c r="I84" s="20">
        <v>8227.1</v>
      </c>
      <c r="J84" s="17">
        <f>SUM(J77:J83)</f>
        <v>292.77</v>
      </c>
      <c r="K84" s="20">
        <v>8528.67</v>
      </c>
      <c r="L84" s="17">
        <f>SUM(L77:L83)</f>
        <v>383.7</v>
      </c>
      <c r="N84" s="2">
        <f t="shared" ref="N84:S84" si="5">SUM(N77:N83)</f>
        <v>5315.1500000000005</v>
      </c>
      <c r="O84" s="18">
        <f t="shared" si="5"/>
        <v>278.39999999999998</v>
      </c>
      <c r="P84" s="20">
        <f t="shared" si="5"/>
        <v>5595.8200000000006</v>
      </c>
      <c r="Q84" s="18">
        <f t="shared" si="5"/>
        <v>332.01</v>
      </c>
      <c r="R84" s="20">
        <f t="shared" si="5"/>
        <v>6295.5999999999995</v>
      </c>
      <c r="S84" s="18">
        <f t="shared" si="5"/>
        <v>292.74</v>
      </c>
    </row>
    <row r="85" spans="1:19">
      <c r="A85" s="83" t="s">
        <v>142</v>
      </c>
      <c r="C85" s="17"/>
      <c r="D85" s="17"/>
      <c r="E85" s="17"/>
      <c r="F85" s="17"/>
      <c r="G85" s="17"/>
      <c r="I85" s="68">
        <v>1322.74</v>
      </c>
      <c r="J85" s="69"/>
      <c r="K85" s="70">
        <v>766.82</v>
      </c>
      <c r="L85" s="69"/>
      <c r="N85" s="71">
        <v>586.36</v>
      </c>
      <c r="O85" s="69"/>
      <c r="P85" s="70">
        <v>934.62</v>
      </c>
      <c r="Q85" s="69"/>
      <c r="R85" s="68">
        <v>1328.33</v>
      </c>
      <c r="S85" s="69"/>
    </row>
    <row r="86" spans="1:19">
      <c r="A86" s="93" t="s">
        <v>96</v>
      </c>
      <c r="B86" s="1"/>
      <c r="C86" s="17"/>
      <c r="D86" s="17"/>
      <c r="E86" s="17"/>
      <c r="F86" s="17"/>
      <c r="G86" s="17"/>
      <c r="I86" s="63">
        <f>I84+J84-I85</f>
        <v>7197.130000000001</v>
      </c>
      <c r="J86" s="64"/>
      <c r="K86" s="63">
        <f>K84+L84-K85</f>
        <v>8145.5500000000011</v>
      </c>
      <c r="L86" s="64"/>
      <c r="N86" s="67">
        <f>N84+O84-N85</f>
        <v>5007.1900000000005</v>
      </c>
      <c r="O86" s="64"/>
      <c r="P86" s="63">
        <f>P84+Q84-P85</f>
        <v>4993.2100000000009</v>
      </c>
      <c r="Q86" s="64"/>
      <c r="R86" s="63">
        <f>R84+S84-R85</f>
        <v>5260.0099999999993</v>
      </c>
      <c r="S86" s="64"/>
    </row>
    <row r="87" spans="1:19">
      <c r="A87" s="93"/>
      <c r="B87" s="1"/>
      <c r="C87" s="17"/>
      <c r="D87" s="17"/>
      <c r="E87" s="17"/>
      <c r="F87" s="17"/>
      <c r="G87" s="17"/>
    </row>
    <row r="88" spans="1:19">
      <c r="A88" s="214"/>
      <c r="C88" s="17"/>
      <c r="D88" s="17"/>
      <c r="E88" s="17"/>
      <c r="F88" s="17"/>
      <c r="G88" s="17"/>
      <c r="I88" s="1">
        <v>2021</v>
      </c>
      <c r="J88" s="21">
        <v>2022</v>
      </c>
      <c r="K88" s="21">
        <v>2023</v>
      </c>
      <c r="L88" s="21">
        <v>2024</v>
      </c>
      <c r="M88" s="21">
        <v>2025</v>
      </c>
      <c r="N88" s="1">
        <v>2021</v>
      </c>
      <c r="O88" s="21">
        <v>2022</v>
      </c>
      <c r="P88" s="21">
        <v>2023</v>
      </c>
      <c r="Q88" s="21">
        <v>2024</v>
      </c>
      <c r="R88" s="21">
        <v>2025</v>
      </c>
    </row>
    <row r="89" spans="1:19">
      <c r="A89" s="214"/>
      <c r="C89" s="17"/>
      <c r="D89" s="17"/>
      <c r="E89" s="17"/>
      <c r="F89" s="17"/>
      <c r="G89" s="17"/>
      <c r="I89" s="17" t="s">
        <v>141</v>
      </c>
      <c r="J89" s="17" t="s">
        <v>141</v>
      </c>
      <c r="K89" s="17" t="s">
        <v>141</v>
      </c>
      <c r="L89" s="17" t="s">
        <v>141</v>
      </c>
      <c r="M89" s="17" t="s">
        <v>141</v>
      </c>
      <c r="N89" t="s">
        <v>140</v>
      </c>
      <c r="O89" s="19" t="s">
        <v>140</v>
      </c>
      <c r="P89" s="19" t="s">
        <v>140</v>
      </c>
      <c r="Q89" s="19" t="s">
        <v>140</v>
      </c>
      <c r="R89" s="19" t="s">
        <v>140</v>
      </c>
    </row>
    <row r="90" spans="1:19">
      <c r="A90" s="214" t="s">
        <v>134</v>
      </c>
      <c r="C90" s="17"/>
      <c r="D90" s="17"/>
      <c r="E90" s="17"/>
      <c r="F90" s="17"/>
      <c r="G90" s="17"/>
      <c r="I90" s="22">
        <f>O77/O$84</f>
        <v>0</v>
      </c>
      <c r="J90" s="22">
        <f>Q77/Q$84</f>
        <v>0</v>
      </c>
      <c r="K90" s="22">
        <f>S77/S$84</f>
        <v>0</v>
      </c>
      <c r="L90" s="22">
        <f>J77/J$84</f>
        <v>0</v>
      </c>
      <c r="M90" s="22">
        <f>L77/L$84</f>
        <v>0</v>
      </c>
      <c r="N90" s="8">
        <f>N77/N$84</f>
        <v>0.28526758416977882</v>
      </c>
      <c r="O90" s="8">
        <f>P77/P$84</f>
        <v>0.31853955273757911</v>
      </c>
      <c r="P90" s="23">
        <f>R77/R$84</f>
        <v>0.37107821335535929</v>
      </c>
      <c r="Q90" s="23">
        <f>I77/I$84</f>
        <v>0.31619404164286324</v>
      </c>
      <c r="R90" s="23">
        <f>K77/K$84</f>
        <v>0.31972980546790997</v>
      </c>
    </row>
    <row r="91" spans="1:19">
      <c r="A91" s="214" t="s">
        <v>133</v>
      </c>
      <c r="C91" s="17"/>
      <c r="D91" s="17"/>
      <c r="E91" s="17"/>
      <c r="F91" s="17"/>
      <c r="G91" s="17"/>
      <c r="I91" s="22">
        <f>O78/O$84</f>
        <v>0</v>
      </c>
      <c r="J91" s="22">
        <f>Q78/Q$84</f>
        <v>0</v>
      </c>
      <c r="K91" s="22">
        <f>S78/S$84</f>
        <v>0</v>
      </c>
      <c r="L91" s="22">
        <f t="shared" ref="L91:L96" si="6">J78/J$84</f>
        <v>0</v>
      </c>
      <c r="M91" s="22">
        <f t="shared" ref="M91:M96" si="7">L78/L$84</f>
        <v>0</v>
      </c>
      <c r="N91" s="8">
        <f>N78/N$84</f>
        <v>0.1647912100317018</v>
      </c>
      <c r="O91" s="8">
        <f>P78/P$84</f>
        <v>0.12384422658341403</v>
      </c>
      <c r="P91" s="23">
        <f>R78/R$84</f>
        <v>0.23787089395768474</v>
      </c>
      <c r="Q91" s="23">
        <f>I78/I$84</f>
        <v>0.3022377265379052</v>
      </c>
      <c r="R91" s="23">
        <f>K78/K$84</f>
        <v>0.33426196581647549</v>
      </c>
    </row>
    <row r="92" spans="1:19">
      <c r="A92" s="214" t="s">
        <v>135</v>
      </c>
      <c r="C92" s="17"/>
      <c r="D92" s="17"/>
      <c r="E92" s="17"/>
      <c r="F92" s="17"/>
      <c r="G92" s="17"/>
      <c r="I92" s="22">
        <f>O79/O$84</f>
        <v>0</v>
      </c>
      <c r="J92" s="22">
        <f>Q79/Q$84</f>
        <v>6.1745128158790401E-2</v>
      </c>
      <c r="K92" s="22">
        <f>S79/S$84</f>
        <v>0</v>
      </c>
      <c r="L92" s="22">
        <f t="shared" si="6"/>
        <v>0</v>
      </c>
      <c r="M92" s="22">
        <f t="shared" si="7"/>
        <v>4.8318999218139168E-2</v>
      </c>
      <c r="N92" s="8">
        <f>N79/N$84</f>
        <v>0.32466440269794833</v>
      </c>
      <c r="O92" s="8">
        <f>P79/P$84</f>
        <v>0.35957196621764098</v>
      </c>
      <c r="P92" s="23">
        <f>R79/R$84</f>
        <v>0.24136380964483134</v>
      </c>
      <c r="Q92" s="23">
        <f>I79/I$84</f>
        <v>0.24391340812680046</v>
      </c>
      <c r="R92" s="23">
        <f>K79/K$84</f>
        <v>0.25942497482022403</v>
      </c>
    </row>
    <row r="93" spans="1:19">
      <c r="A93" s="214" t="s">
        <v>136</v>
      </c>
      <c r="C93" s="17"/>
      <c r="D93" s="17"/>
      <c r="E93" s="17"/>
      <c r="F93" s="17"/>
      <c r="G93" s="17"/>
      <c r="I93" s="22">
        <f>O80/O$84</f>
        <v>0</v>
      </c>
      <c r="J93" s="22">
        <f>Q80/Q$84</f>
        <v>9.4153790548477459E-2</v>
      </c>
      <c r="K93" s="22">
        <f>S80/S$84</f>
        <v>0</v>
      </c>
      <c r="L93" s="22">
        <f t="shared" si="6"/>
        <v>0</v>
      </c>
      <c r="M93" s="22">
        <f t="shared" si="7"/>
        <v>8.6968986187125355E-2</v>
      </c>
      <c r="N93" s="8">
        <f>N80/N$84</f>
        <v>7.5164388587339953E-2</v>
      </c>
      <c r="O93" s="8">
        <f>P80/P$84</f>
        <v>7.3447680590154787E-2</v>
      </c>
      <c r="P93" s="23">
        <f>R80/R$84</f>
        <v>0.10784992693309614</v>
      </c>
      <c r="Q93" s="23">
        <f>I80/I$84</f>
        <v>0.10741938228537394</v>
      </c>
      <c r="R93" s="23">
        <f>K80/K$84</f>
        <v>6.5595221763768571E-2</v>
      </c>
    </row>
    <row r="94" spans="1:19">
      <c r="A94" s="214" t="s">
        <v>137</v>
      </c>
      <c r="C94" s="17"/>
      <c r="D94" s="17"/>
      <c r="E94" s="17"/>
      <c r="F94" s="17"/>
      <c r="G94" s="17"/>
      <c r="I94" s="22">
        <f>O81/O$84</f>
        <v>9.339080459770116E-2</v>
      </c>
      <c r="J94" s="22">
        <f>Q81/Q$84</f>
        <v>2.0782506551007499E-3</v>
      </c>
      <c r="K94" s="22">
        <f>S81/S$84</f>
        <v>7.0028011204481794E-2</v>
      </c>
      <c r="L94" s="22">
        <f t="shared" si="6"/>
        <v>0</v>
      </c>
      <c r="M94" s="22">
        <f t="shared" si="7"/>
        <v>0.10169403179567371</v>
      </c>
      <c r="N94" s="8">
        <f>N81/N$84</f>
        <v>0.10565270970715782</v>
      </c>
      <c r="O94" s="8">
        <f>P81/P$84</f>
        <v>8.3290742018149247E-2</v>
      </c>
      <c r="P94" s="23">
        <f>R81/R$84</f>
        <v>1.7852150708431283E-2</v>
      </c>
      <c r="Q94" s="23">
        <f>I81/I$84</f>
        <v>2.3325351581966913E-2</v>
      </c>
      <c r="R94" s="23">
        <f>K81/K$84</f>
        <v>2.0863745460898357E-2</v>
      </c>
    </row>
    <row r="95" spans="1:19">
      <c r="A95" s="214" t="s">
        <v>138</v>
      </c>
      <c r="C95" s="17"/>
      <c r="D95" s="17"/>
      <c r="E95" s="17"/>
      <c r="F95" s="17"/>
      <c r="G95" s="17"/>
      <c r="I95" s="22">
        <f>O82/O$84</f>
        <v>0</v>
      </c>
      <c r="J95" s="22">
        <f>Q82/Q$84</f>
        <v>8.1804764916719383E-2</v>
      </c>
      <c r="K95" s="22">
        <f>S82/S$84</f>
        <v>0.10692081710733074</v>
      </c>
      <c r="L95" s="22">
        <f t="shared" si="6"/>
        <v>7.7466953581309561E-2</v>
      </c>
      <c r="M95" s="22">
        <f t="shared" si="7"/>
        <v>0</v>
      </c>
      <c r="N95" s="8">
        <f>N82/N$84</f>
        <v>2.8366085623171493E-2</v>
      </c>
      <c r="O95" s="8">
        <f>P82/P$84</f>
        <v>3.5095839394405103E-2</v>
      </c>
      <c r="P95" s="23">
        <f>R82/R$84</f>
        <v>9.7623737213291834E-3</v>
      </c>
      <c r="Q95" s="23">
        <f>I82/I$84</f>
        <v>5.8112822258146856E-3</v>
      </c>
      <c r="R95" s="23">
        <f>K82/K$84</f>
        <v>1.1373402886968307E-4</v>
      </c>
    </row>
    <row r="96" spans="1:19">
      <c r="A96" s="214" t="s">
        <v>139</v>
      </c>
      <c r="C96" s="17"/>
      <c r="D96" s="17"/>
      <c r="E96" s="17"/>
      <c r="F96" s="17"/>
      <c r="G96" s="17"/>
      <c r="I96" s="36">
        <f>O83/O$84</f>
        <v>0.9066091954022989</v>
      </c>
      <c r="J96" s="36">
        <f>Q83/Q$84</f>
        <v>0.760218065720912</v>
      </c>
      <c r="K96" s="36">
        <f>S83/S$84</f>
        <v>0.82305117168818742</v>
      </c>
      <c r="L96" s="36">
        <f t="shared" si="6"/>
        <v>0.92253304641869038</v>
      </c>
      <c r="M96" s="36">
        <f t="shared" si="7"/>
        <v>0.76301798279906174</v>
      </c>
      <c r="N96" s="8">
        <f>N83/N$84</f>
        <v>1.6093619182901704E-2</v>
      </c>
      <c r="O96" s="8">
        <f>P83/P$84</f>
        <v>6.2099924586566397E-3</v>
      </c>
      <c r="P96" s="23">
        <f>R83/R$84</f>
        <v>1.422263167926806E-2</v>
      </c>
      <c r="Q96" s="23">
        <f>I83/I$84</f>
        <v>1.0988075992755648E-3</v>
      </c>
      <c r="R96" s="23">
        <f>K83/K$84</f>
        <v>1.055264185388812E-5</v>
      </c>
    </row>
    <row r="97" spans="1:18">
      <c r="A97" s="214" t="s">
        <v>142</v>
      </c>
      <c r="C97" s="17"/>
      <c r="D97" s="17"/>
      <c r="E97" s="17"/>
      <c r="F97" s="17"/>
      <c r="G97" s="17"/>
      <c r="I97" s="22"/>
      <c r="J97" s="22"/>
      <c r="K97" s="22"/>
      <c r="L97" s="22"/>
      <c r="M97" s="22"/>
      <c r="N97" s="8">
        <f>N85/N$84</f>
        <v>0.11031861753666405</v>
      </c>
      <c r="O97" s="8">
        <f>P85/P$84</f>
        <v>0.1670210978909257</v>
      </c>
      <c r="P97" s="23">
        <f>R85/R$84</f>
        <v>0.2109933922104327</v>
      </c>
      <c r="Q97" s="23">
        <f>I85/I$84</f>
        <v>0.16077840308249564</v>
      </c>
      <c r="R97" s="23">
        <f>K85/K$84</f>
        <v>8.9910853626649884E-2</v>
      </c>
    </row>
    <row r="98" spans="1:18">
      <c r="A98" s="93"/>
      <c r="B98" s="1"/>
      <c r="C98" s="17"/>
      <c r="D98" s="17"/>
      <c r="E98" s="17"/>
      <c r="F98" s="17"/>
      <c r="G98" s="17"/>
    </row>
    <row r="99" spans="1:18">
      <c r="A99" s="93"/>
      <c r="B99" s="1"/>
      <c r="C99" s="17"/>
      <c r="D99" s="17"/>
      <c r="E99" s="17"/>
      <c r="F99" s="17"/>
      <c r="G99" s="17"/>
    </row>
    <row r="100" spans="1:18">
      <c r="A100" s="93" t="s">
        <v>264</v>
      </c>
      <c r="B100" s="1"/>
      <c r="C100" s="18">
        <f>'Balance Sheet'!C50+'Balance Sheet'!C51</f>
        <v>3061.55</v>
      </c>
      <c r="D100" s="18">
        <f>'Balance Sheet'!D50+'Balance Sheet'!D51</f>
        <v>2568.39</v>
      </c>
      <c r="E100" s="18">
        <f>'Balance Sheet'!E50+'Balance Sheet'!E51</f>
        <v>2252.14</v>
      </c>
      <c r="F100" s="18">
        <f>'Balance Sheet'!F50+'Balance Sheet'!F51</f>
        <v>4030.04</v>
      </c>
      <c r="G100" s="18">
        <f>'Balance Sheet'!G50+'Balance Sheet'!G51</f>
        <v>3500.94</v>
      </c>
      <c r="H100" s="2"/>
    </row>
    <row r="101" spans="1:18">
      <c r="A101" s="212" t="s">
        <v>265</v>
      </c>
      <c r="B101" s="29"/>
      <c r="C101" s="17"/>
      <c r="D101" s="22">
        <f>D100/C100-1</f>
        <v>-0.16108180496807178</v>
      </c>
      <c r="E101" s="22">
        <f>E100/D100-1</f>
        <v>-0.12313161163218977</v>
      </c>
      <c r="F101" s="22">
        <f>F100/E100-1</f>
        <v>0.78942694503894084</v>
      </c>
      <c r="G101" s="22">
        <f>G100/F100-1</f>
        <v>-0.13128901946382665</v>
      </c>
    </row>
    <row r="102" spans="1:18">
      <c r="A102" s="213" t="s">
        <v>216</v>
      </c>
      <c r="B102" s="6"/>
      <c r="C102" s="17"/>
      <c r="D102" s="22">
        <f>'Income Statement '!C5</f>
        <v>0.21712209725210352</v>
      </c>
      <c r="E102" s="22">
        <f>'Income Statement '!D5</f>
        <v>0.20448193368313317</v>
      </c>
      <c r="F102" s="22">
        <f>'Income Statement '!E5</f>
        <v>0.1827657163150942</v>
      </c>
      <c r="G102" s="22">
        <f>'Income Statement '!F5</f>
        <v>7.0586224878868009E-2</v>
      </c>
      <c r="I102" t="s">
        <v>408</v>
      </c>
    </row>
    <row r="103" spans="1:18">
      <c r="C103" s="17"/>
      <c r="D103" s="17"/>
      <c r="E103" s="17"/>
      <c r="F103" s="17"/>
      <c r="G103" s="17"/>
      <c r="I103" t="s">
        <v>409</v>
      </c>
    </row>
    <row r="104" spans="1:18">
      <c r="A104" s="93" t="s">
        <v>266</v>
      </c>
      <c r="B104" s="1"/>
      <c r="C104" s="17">
        <f>'Balance Sheet'!C20</f>
        <v>894.73</v>
      </c>
      <c r="D104" s="17">
        <f>'Balance Sheet'!D20</f>
        <v>629.27</v>
      </c>
      <c r="E104" s="17">
        <f>'Balance Sheet'!E20</f>
        <v>741.7</v>
      </c>
      <c r="F104" s="17">
        <f>'Balance Sheet'!F20</f>
        <v>1268.5999999999999</v>
      </c>
      <c r="G104" s="17">
        <f>'Balance Sheet'!G20</f>
        <v>795.83</v>
      </c>
      <c r="I104" t="s">
        <v>410</v>
      </c>
    </row>
    <row r="105" spans="1:18">
      <c r="A105" s="212" t="s">
        <v>267</v>
      </c>
      <c r="B105" s="29"/>
      <c r="C105" s="17"/>
      <c r="D105" s="22">
        <f>D104/C104-1</f>
        <v>-0.29669285706302462</v>
      </c>
      <c r="E105" s="22">
        <f>E104/D104-1</f>
        <v>0.17866734470100276</v>
      </c>
      <c r="F105" s="22">
        <f>F104/E104-1</f>
        <v>0.7103950384252391</v>
      </c>
      <c r="G105" s="22">
        <f>G104/F104-1</f>
        <v>-0.37267066057070775</v>
      </c>
      <c r="I105" t="s">
        <v>411</v>
      </c>
    </row>
    <row r="106" spans="1:18">
      <c r="A106" s="83" t="s">
        <v>268</v>
      </c>
      <c r="B106" s="28"/>
      <c r="C106" s="17"/>
      <c r="D106" s="17"/>
      <c r="E106" s="17"/>
      <c r="F106" s="17"/>
      <c r="G106" s="17"/>
      <c r="I106" t="s">
        <v>415</v>
      </c>
    </row>
    <row r="107" spans="1:18">
      <c r="C107" s="17"/>
      <c r="D107" s="17"/>
      <c r="E107" s="17"/>
      <c r="F107" s="17"/>
      <c r="G107" s="17"/>
    </row>
    <row r="108" spans="1:18">
      <c r="A108" s="93" t="s">
        <v>269</v>
      </c>
      <c r="B108" s="1"/>
      <c r="C108" s="17"/>
      <c r="D108" s="17"/>
      <c r="E108" s="17"/>
      <c r="F108" s="17"/>
      <c r="G108" s="17"/>
    </row>
    <row r="109" spans="1:18">
      <c r="A109" s="83" t="s">
        <v>270</v>
      </c>
      <c r="C109" s="17" t="s">
        <v>416</v>
      </c>
      <c r="D109" s="17"/>
      <c r="E109" s="17"/>
      <c r="F109" s="17"/>
      <c r="G109" s="17"/>
    </row>
    <row r="110" spans="1:18">
      <c r="A110" s="212" t="s">
        <v>271</v>
      </c>
      <c r="B110" s="29"/>
      <c r="C110" s="17"/>
      <c r="D110" s="17"/>
      <c r="E110" s="17"/>
      <c r="F110" s="17"/>
      <c r="G110" s="17"/>
    </row>
    <row r="111" spans="1:18">
      <c r="A111" s="212"/>
      <c r="B111" s="29"/>
      <c r="C111" s="17"/>
      <c r="D111" s="17"/>
      <c r="E111" s="17"/>
      <c r="F111" s="17"/>
      <c r="G111" s="17"/>
    </row>
    <row r="112" spans="1:18">
      <c r="A112" s="83" t="s">
        <v>272</v>
      </c>
      <c r="C112" s="17" t="s">
        <v>416</v>
      </c>
      <c r="D112" s="17"/>
      <c r="E112" s="17"/>
      <c r="F112" s="17"/>
      <c r="G112" s="17"/>
    </row>
    <row r="113" spans="1:7">
      <c r="A113" s="212" t="s">
        <v>273</v>
      </c>
      <c r="B113" s="29"/>
      <c r="C113" s="17"/>
      <c r="D113" s="17"/>
      <c r="E113" s="17"/>
      <c r="F113" s="17"/>
      <c r="G113" s="17"/>
    </row>
    <row r="114" spans="1:7">
      <c r="A114" s="212"/>
      <c r="B114" s="29"/>
      <c r="C114" s="17"/>
      <c r="D114" s="17"/>
      <c r="E114" s="17"/>
      <c r="F114" s="17"/>
      <c r="G114" s="17"/>
    </row>
    <row r="115" spans="1:7">
      <c r="A115" s="83" t="s">
        <v>274</v>
      </c>
      <c r="C115" s="17" t="s">
        <v>416</v>
      </c>
      <c r="D115" s="17"/>
      <c r="E115" s="17"/>
      <c r="F115" s="17"/>
      <c r="G115" s="17"/>
    </row>
    <row r="116" spans="1:7">
      <c r="A116" s="83" t="s">
        <v>275</v>
      </c>
      <c r="C116" s="17"/>
      <c r="D116" s="17"/>
      <c r="E116" s="17"/>
      <c r="F116" s="17"/>
      <c r="G116" s="17"/>
    </row>
    <row r="117" spans="1:7">
      <c r="A117" s="212"/>
      <c r="B117" s="29"/>
      <c r="C117" s="17"/>
      <c r="D117" s="17"/>
      <c r="E117" s="17"/>
      <c r="F117" s="17"/>
      <c r="G117" s="17"/>
    </row>
    <row r="118" spans="1:7">
      <c r="A118" s="83" t="s">
        <v>55</v>
      </c>
      <c r="C118" s="17"/>
      <c r="D118" s="17"/>
      <c r="E118" s="17"/>
      <c r="F118" s="17"/>
      <c r="G118" s="17"/>
    </row>
    <row r="119" spans="1:7">
      <c r="A119" s="212"/>
      <c r="B119" s="29"/>
      <c r="C119" s="17"/>
      <c r="D119" s="17"/>
      <c r="E119" s="17"/>
      <c r="F119" s="17"/>
      <c r="G119" s="17"/>
    </row>
    <row r="120" spans="1:7">
      <c r="A120" s="83" t="s">
        <v>276</v>
      </c>
      <c r="B120" s="28"/>
      <c r="C120" s="17" t="s">
        <v>416</v>
      </c>
      <c r="D120" s="17"/>
      <c r="E120" s="17"/>
      <c r="F120" s="17"/>
      <c r="G120" s="17"/>
    </row>
    <row r="121" spans="1:7">
      <c r="A121" s="212" t="s">
        <v>277</v>
      </c>
      <c r="B121" s="29"/>
      <c r="C121" s="17"/>
      <c r="D121" s="17"/>
      <c r="E121" s="17"/>
      <c r="F121" s="17"/>
      <c r="G121" s="17"/>
    </row>
    <row r="122" spans="1:7">
      <c r="A122" s="83" t="s">
        <v>275</v>
      </c>
      <c r="C122" s="17"/>
      <c r="D122" s="17"/>
      <c r="E122" s="17"/>
      <c r="F122" s="17"/>
      <c r="G122" s="17"/>
    </row>
    <row r="123" spans="1:7">
      <c r="C123" s="17"/>
      <c r="D123" s="17"/>
      <c r="E123" s="17"/>
      <c r="F123" s="17"/>
      <c r="G123" s="17"/>
    </row>
    <row r="124" spans="1:7">
      <c r="A124" s="83" t="s">
        <v>278</v>
      </c>
      <c r="B124" s="28"/>
      <c r="C124" s="17" t="s">
        <v>416</v>
      </c>
      <c r="D124" s="17"/>
      <c r="E124" s="17"/>
      <c r="F124" s="17"/>
      <c r="G124" s="17"/>
    </row>
    <row r="125" spans="1:7">
      <c r="A125" s="83" t="s">
        <v>279</v>
      </c>
      <c r="B125" s="28"/>
      <c r="C125" s="17"/>
      <c r="D125" s="17"/>
      <c r="E125" s="17"/>
      <c r="F125" s="17"/>
      <c r="G125" s="17"/>
    </row>
    <row r="126" spans="1:7">
      <c r="C126" s="17"/>
      <c r="D126" s="17"/>
      <c r="E126" s="17"/>
      <c r="F126" s="17"/>
      <c r="G126" s="17"/>
    </row>
    <row r="127" spans="1:7">
      <c r="A127" s="83" t="s">
        <v>280</v>
      </c>
      <c r="C127" s="17" t="s">
        <v>416</v>
      </c>
      <c r="D127" s="17"/>
      <c r="E127" s="17"/>
      <c r="F127" s="17"/>
      <c r="G127" s="17"/>
    </row>
    <row r="128" spans="1:7">
      <c r="A128" s="83" t="s">
        <v>275</v>
      </c>
      <c r="C128" s="17"/>
      <c r="D128" s="17"/>
      <c r="E128" s="17"/>
      <c r="F128" s="17"/>
      <c r="G128" s="17"/>
    </row>
    <row r="129" spans="1:7">
      <c r="C129" s="17"/>
      <c r="D129" s="17"/>
      <c r="E129" s="17"/>
      <c r="F129" s="17"/>
      <c r="G129" s="17"/>
    </row>
    <row r="130" spans="1:7">
      <c r="A130" s="83" t="s">
        <v>281</v>
      </c>
      <c r="C130" s="46">
        <f>Ratios!D6</f>
        <v>10.384222401654128</v>
      </c>
      <c r="D130" s="46">
        <f>Ratios!E6</f>
        <v>9.4037664041994766</v>
      </c>
      <c r="E130" s="46">
        <f>Ratios!F6</f>
        <v>11.573251055821791</v>
      </c>
      <c r="F130" s="46">
        <f>Ratios!G6</f>
        <v>10.205402178779288</v>
      </c>
      <c r="G130" s="46">
        <f>Ratios!H6</f>
        <v>10.071845497304343</v>
      </c>
    </row>
    <row r="131" spans="1:7">
      <c r="A131" s="83" t="s">
        <v>145</v>
      </c>
      <c r="C131" s="46">
        <f>Ratios!D7</f>
        <v>35.149478302954897</v>
      </c>
      <c r="D131" s="46">
        <f>Ratios!E7</f>
        <v>38.814235095950544</v>
      </c>
      <c r="E131" s="46">
        <f>Ratios!F7</f>
        <v>31.538242645863193</v>
      </c>
      <c r="F131" s="46">
        <f>Ratios!G7</f>
        <v>35.765371477369769</v>
      </c>
      <c r="G131" s="46">
        <f>Ratios!H7</f>
        <v>36.239634543410105</v>
      </c>
    </row>
    <row r="132" spans="1:7">
      <c r="C132" s="17"/>
      <c r="D132" s="17"/>
      <c r="E132" s="17"/>
      <c r="F132" s="17"/>
      <c r="G132" s="17"/>
    </row>
    <row r="133" spans="1:7">
      <c r="A133" s="93" t="s">
        <v>145</v>
      </c>
      <c r="B133" s="1"/>
      <c r="C133" s="46">
        <f>C131</f>
        <v>35.149478302954897</v>
      </c>
      <c r="D133" s="46">
        <f>D131</f>
        <v>38.814235095950544</v>
      </c>
      <c r="E133" s="46">
        <f>E131</f>
        <v>31.538242645863193</v>
      </c>
      <c r="F133" s="46">
        <f>F131</f>
        <v>35.765371477369769</v>
      </c>
      <c r="G133" s="46">
        <f>G131</f>
        <v>36.239634543410105</v>
      </c>
    </row>
    <row r="134" spans="1:7">
      <c r="A134" s="83" t="s">
        <v>282</v>
      </c>
      <c r="C134" s="46">
        <f>Ratios!D20</f>
        <v>116.69917080752475</v>
      </c>
      <c r="D134" s="46">
        <f>Ratios!E20</f>
        <v>106.50493403981075</v>
      </c>
      <c r="E134" s="46">
        <f>Ratios!F20</f>
        <v>90.83376507392687</v>
      </c>
      <c r="F134" s="46">
        <f>Ratios!G20</f>
        <v>100.38657609893154</v>
      </c>
      <c r="G134" s="46">
        <f>Ratios!H20</f>
        <v>115.4878178551572</v>
      </c>
    </row>
    <row r="135" spans="1:7">
      <c r="A135" s="83" t="s">
        <v>149</v>
      </c>
      <c r="C135" s="46">
        <f>Ratios!D13</f>
        <v>169.30596223434998</v>
      </c>
      <c r="D135" s="46">
        <f>Ratios!E13</f>
        <v>224.92448621290532</v>
      </c>
      <c r="E135" s="46">
        <f>Ratios!F13</f>
        <v>177.80851078880775</v>
      </c>
      <c r="F135" s="46">
        <f>Ratios!G13</f>
        <v>163.57929722834945</v>
      </c>
      <c r="G135" s="46">
        <f>Ratios!H13</f>
        <v>202.94671334743006</v>
      </c>
    </row>
    <row r="136" spans="1:7">
      <c r="A136" s="93" t="s">
        <v>157</v>
      </c>
      <c r="B136" s="34"/>
      <c r="C136" s="46">
        <f>C133+C134-C135</f>
        <v>-17.457313123870335</v>
      </c>
      <c r="D136" s="46">
        <f>D133+D134-D135</f>
        <v>-79.605317077144036</v>
      </c>
      <c r="E136" s="46">
        <f>E133+E134-E135</f>
        <v>-55.436503069017689</v>
      </c>
      <c r="F136" s="46">
        <f>F133+F134-F135</f>
        <v>-27.427349652048122</v>
      </c>
      <c r="G136" s="46">
        <f>G133+G134-G135</f>
        <v>-51.21926094886274</v>
      </c>
    </row>
    <row r="137" spans="1:7">
      <c r="A137" s="93"/>
      <c r="B137" s="1"/>
      <c r="C137" s="17"/>
      <c r="D137" s="17"/>
      <c r="E137" s="17"/>
      <c r="F137" s="17"/>
      <c r="G137" s="17"/>
    </row>
    <row r="138" spans="1:7">
      <c r="A138" s="93" t="s">
        <v>283</v>
      </c>
      <c r="B138" s="1"/>
      <c r="C138" s="18">
        <f>'Balance Sheet'!C6</f>
        <v>1897</v>
      </c>
      <c r="D138" s="18">
        <f>'Balance Sheet'!D6</f>
        <v>3233.41</v>
      </c>
      <c r="E138" s="18">
        <f>'Balance Sheet'!E6</f>
        <v>4696.9399999999996</v>
      </c>
      <c r="F138" s="18">
        <f>'Balance Sheet'!F6</f>
        <v>4677.03</v>
      </c>
      <c r="G138" s="18">
        <f>'Balance Sheet'!G6</f>
        <v>4842.3900000000003</v>
      </c>
    </row>
    <row r="139" spans="1:7">
      <c r="A139" s="83" t="s">
        <v>104</v>
      </c>
      <c r="C139" s="18">
        <f>'Balance Sheet'!C31</f>
        <v>16118.099999999999</v>
      </c>
      <c r="D139" s="18">
        <f>'Balance Sheet'!D31</f>
        <v>17613.940000000002</v>
      </c>
      <c r="E139" s="18">
        <f>'Balance Sheet'!E31</f>
        <v>21012.259999999995</v>
      </c>
      <c r="F139" s="18">
        <f>'Balance Sheet'!F31</f>
        <v>26585.239999999998</v>
      </c>
      <c r="G139" s="18">
        <f>'Balance Sheet'!G31</f>
        <v>31199.239999999998</v>
      </c>
    </row>
    <row r="140" spans="1:7">
      <c r="A140" s="212" t="s">
        <v>284</v>
      </c>
      <c r="B140" s="29"/>
      <c r="C140" s="22">
        <f>C138/C139</f>
        <v>0.11769377283923044</v>
      </c>
      <c r="D140" s="22">
        <f>D138/D139</f>
        <v>0.18357108063272609</v>
      </c>
      <c r="E140" s="22">
        <f>E138/E139</f>
        <v>0.22353330864933144</v>
      </c>
      <c r="F140" s="22">
        <f>F138/F139</f>
        <v>0.17592581447449787</v>
      </c>
      <c r="G140" s="22">
        <f>G138/G139</f>
        <v>0.15520858841433319</v>
      </c>
    </row>
    <row r="141" spans="1:7">
      <c r="C141" s="17"/>
      <c r="D141" s="17"/>
      <c r="E141" s="17"/>
      <c r="F141" s="17"/>
      <c r="G141" s="17"/>
    </row>
    <row r="142" spans="1:7">
      <c r="A142" s="93" t="s">
        <v>285</v>
      </c>
      <c r="B142" s="1"/>
      <c r="C142" s="17">
        <f>'Balance Sheet'!C7</f>
        <v>226.81</v>
      </c>
      <c r="D142" s="17">
        <f>'Balance Sheet'!D7</f>
        <v>423.18</v>
      </c>
      <c r="E142" s="17">
        <f>'Balance Sheet'!E7</f>
        <v>203.13</v>
      </c>
      <c r="F142" s="17">
        <f>'Balance Sheet'!F7</f>
        <v>147.30000000000001</v>
      </c>
      <c r="G142" s="17">
        <f>'Balance Sheet'!G7</f>
        <v>1525.48</v>
      </c>
    </row>
    <row r="143" spans="1:7">
      <c r="A143" s="83" t="s">
        <v>286</v>
      </c>
      <c r="B143" s="28"/>
      <c r="C143" s="17"/>
      <c r="D143" s="17"/>
      <c r="E143" s="17"/>
      <c r="F143" s="17"/>
      <c r="G143" s="17"/>
    </row>
    <row r="144" spans="1:7">
      <c r="A144" s="212" t="s">
        <v>287</v>
      </c>
      <c r="B144" s="29"/>
      <c r="C144" s="17"/>
      <c r="D144" s="17"/>
      <c r="E144" s="17"/>
      <c r="F144" s="17"/>
      <c r="G144" s="17"/>
    </row>
    <row r="145" spans="1:7">
      <c r="C145" s="17"/>
      <c r="D145" s="17"/>
      <c r="E145" s="17"/>
      <c r="F145" s="17"/>
      <c r="G145" s="17"/>
    </row>
    <row r="146" spans="1:7">
      <c r="A146" s="93" t="s">
        <v>288</v>
      </c>
      <c r="B146" s="1"/>
      <c r="C146" s="17"/>
      <c r="D146" s="17"/>
      <c r="E146" s="17"/>
      <c r="F146" s="17"/>
      <c r="G146" s="17"/>
    </row>
    <row r="147" spans="1:7">
      <c r="A147" s="83" t="s">
        <v>289</v>
      </c>
      <c r="C147" s="17"/>
      <c r="D147" s="17"/>
      <c r="E147" s="17"/>
      <c r="F147" s="17"/>
      <c r="G147" s="17"/>
    </row>
    <row r="148" spans="1:7">
      <c r="A148" s="212" t="s">
        <v>290</v>
      </c>
      <c r="B148" s="29"/>
      <c r="C148" s="17"/>
      <c r="D148" s="17"/>
      <c r="E148" s="17"/>
      <c r="F148" s="17"/>
      <c r="G148" s="17"/>
    </row>
    <row r="149" spans="1:7">
      <c r="A149" s="83" t="s">
        <v>291</v>
      </c>
      <c r="C149" s="17"/>
      <c r="D149" s="17"/>
      <c r="E149" s="17"/>
      <c r="F149" s="17"/>
      <c r="G149" s="17"/>
    </row>
    <row r="150" spans="1:7">
      <c r="A150" s="83" t="s">
        <v>292</v>
      </c>
      <c r="C150" s="17"/>
      <c r="D150" s="17"/>
      <c r="E150" s="17"/>
      <c r="F150" s="17"/>
      <c r="G150" s="17"/>
    </row>
    <row r="151" spans="1:7">
      <c r="C151" s="17"/>
      <c r="D151" s="17"/>
      <c r="E151" s="17"/>
      <c r="F151" s="17"/>
      <c r="G151" s="17"/>
    </row>
    <row r="152" spans="1:7">
      <c r="A152" s="83" t="s">
        <v>293</v>
      </c>
      <c r="C152" s="17"/>
      <c r="D152" s="17"/>
      <c r="E152" s="17"/>
      <c r="F152" s="17"/>
      <c r="G152" s="17"/>
    </row>
    <row r="153" spans="1:7">
      <c r="A153" s="83" t="s">
        <v>294</v>
      </c>
      <c r="C153" s="17"/>
      <c r="D153" s="17"/>
      <c r="E153" s="17"/>
      <c r="F153" s="17"/>
      <c r="G153" s="17"/>
    </row>
    <row r="154" spans="1:7">
      <c r="A154" s="83" t="s">
        <v>295</v>
      </c>
      <c r="C154" s="17"/>
      <c r="D154" s="17"/>
      <c r="E154" s="17"/>
      <c r="F154" s="17"/>
      <c r="G154" s="17"/>
    </row>
    <row r="155" spans="1:7">
      <c r="C155" s="17"/>
      <c r="D155" s="17"/>
      <c r="E155" s="17"/>
      <c r="F155" s="17"/>
      <c r="G155" s="17"/>
    </row>
    <row r="156" spans="1:7">
      <c r="A156" s="93" t="s">
        <v>296</v>
      </c>
      <c r="B156" s="1"/>
      <c r="C156" s="17"/>
      <c r="D156" s="17"/>
      <c r="E156" s="17"/>
      <c r="F156" s="17"/>
      <c r="G156" s="17"/>
    </row>
    <row r="157" spans="1:7">
      <c r="A157" s="83" t="s">
        <v>297</v>
      </c>
      <c r="C157" s="17"/>
      <c r="D157" s="17"/>
      <c r="E157" s="17"/>
      <c r="F157" s="17"/>
      <c r="G157" s="17"/>
    </row>
    <row r="158" spans="1:7">
      <c r="A158" s="83" t="s">
        <v>283</v>
      </c>
      <c r="C158" s="17"/>
      <c r="D158" s="17"/>
      <c r="E158" s="17"/>
      <c r="F158" s="17"/>
      <c r="G158" s="17"/>
    </row>
    <row r="159" spans="1:7">
      <c r="A159" s="97" t="s">
        <v>298</v>
      </c>
      <c r="B159" s="9"/>
      <c r="C159" s="17"/>
      <c r="D159" s="17"/>
      <c r="E159" s="17"/>
      <c r="F159" s="17"/>
      <c r="G159" s="17"/>
    </row>
    <row r="160" spans="1:7">
      <c r="A160" s="83" t="s">
        <v>104</v>
      </c>
      <c r="C160" s="17"/>
      <c r="D160" s="17"/>
      <c r="E160" s="17"/>
      <c r="F160" s="17"/>
      <c r="G160" s="17"/>
    </row>
    <row r="161" spans="1:7">
      <c r="A161" s="212" t="s">
        <v>299</v>
      </c>
      <c r="B161" s="29"/>
      <c r="C161" s="17"/>
      <c r="D161" s="17"/>
      <c r="E161" s="17"/>
      <c r="F161" s="17"/>
      <c r="G161" s="17"/>
    </row>
    <row r="162" spans="1:7">
      <c r="A162" s="83" t="s">
        <v>300</v>
      </c>
      <c r="B162" s="28"/>
      <c r="C162" s="17"/>
      <c r="D162" s="17"/>
      <c r="E162" s="17"/>
      <c r="F162" s="17"/>
      <c r="G162" s="17"/>
    </row>
    <row r="163" spans="1:7">
      <c r="C163" s="17"/>
      <c r="D163" s="17"/>
      <c r="E163" s="17"/>
      <c r="F163" s="17"/>
      <c r="G163" s="17"/>
    </row>
    <row r="164" spans="1:7">
      <c r="A164" s="93" t="s">
        <v>301</v>
      </c>
      <c r="B164" s="1"/>
      <c r="C164" s="17" t="s">
        <v>121</v>
      </c>
      <c r="D164" s="17"/>
      <c r="E164" s="17"/>
      <c r="F164" s="17"/>
      <c r="G164" s="17"/>
    </row>
    <row r="165" spans="1:7">
      <c r="A165" s="83" t="s">
        <v>302</v>
      </c>
      <c r="C165" s="17" t="s">
        <v>121</v>
      </c>
      <c r="D165" s="17"/>
      <c r="E165" s="17"/>
      <c r="F165" s="17"/>
      <c r="G165" s="17"/>
    </row>
    <row r="166" spans="1:7">
      <c r="A166" s="213" t="s">
        <v>303</v>
      </c>
      <c r="B166" s="33"/>
      <c r="C166" s="17" t="s">
        <v>121</v>
      </c>
      <c r="D166" s="17"/>
      <c r="E166" s="17"/>
      <c r="F166" s="17"/>
      <c r="G166" s="17"/>
    </row>
    <row r="167" spans="1:7">
      <c r="C167" s="17"/>
      <c r="D167" s="17"/>
      <c r="E167" s="17"/>
      <c r="F167" s="17"/>
      <c r="G167" s="17"/>
    </row>
    <row r="168" spans="1:7">
      <c r="A168" s="93" t="s">
        <v>304</v>
      </c>
      <c r="B168" s="34"/>
      <c r="C168" s="17"/>
      <c r="D168" s="17"/>
      <c r="E168" s="17"/>
      <c r="F168" s="17"/>
      <c r="G168" s="17"/>
    </row>
    <row r="169" spans="1:7">
      <c r="A169" s="83" t="s">
        <v>305</v>
      </c>
      <c r="C169" s="17" t="s">
        <v>414</v>
      </c>
      <c r="D169" s="17" t="s">
        <v>414</v>
      </c>
      <c r="E169" s="22">
        <v>7.4499999999999997E-2</v>
      </c>
      <c r="F169" s="22">
        <v>7.1499999999999994E-2</v>
      </c>
      <c r="G169" s="17" t="s">
        <v>412</v>
      </c>
    </row>
    <row r="170" spans="1:7">
      <c r="A170" s="83" t="s">
        <v>306</v>
      </c>
      <c r="C170" s="17"/>
      <c r="D170" s="17"/>
      <c r="E170" s="17"/>
      <c r="F170" s="17"/>
      <c r="G170" s="17"/>
    </row>
    <row r="171" spans="1:7">
      <c r="A171" s="83" t="s">
        <v>307</v>
      </c>
      <c r="C171" s="220">
        <v>0.05</v>
      </c>
      <c r="D171" s="220">
        <v>0.05</v>
      </c>
      <c r="E171" s="222" t="s">
        <v>413</v>
      </c>
      <c r="F171" s="222" t="s">
        <v>413</v>
      </c>
      <c r="G171" s="17"/>
    </row>
    <row r="172" spans="1:7">
      <c r="A172" s="83" t="s">
        <v>308</v>
      </c>
      <c r="C172" s="17"/>
      <c r="D172" s="17"/>
      <c r="E172" s="17"/>
      <c r="F172" s="17"/>
      <c r="G172" s="17"/>
    </row>
    <row r="173" spans="1:7">
      <c r="C173" s="17"/>
      <c r="D173" s="17"/>
      <c r="E173" s="17"/>
      <c r="F173" s="17"/>
      <c r="G173" s="17"/>
    </row>
    <row r="174" spans="1:7">
      <c r="A174" s="83" t="s">
        <v>309</v>
      </c>
      <c r="C174" s="17">
        <v>24.79</v>
      </c>
      <c r="D174" s="17">
        <v>26.25</v>
      </c>
      <c r="E174" s="17">
        <v>56.04</v>
      </c>
      <c r="F174" s="17">
        <v>76.69</v>
      </c>
      <c r="G174" s="17">
        <v>140.44</v>
      </c>
    </row>
    <row r="175" spans="1:7">
      <c r="A175" s="83" t="s">
        <v>310</v>
      </c>
      <c r="C175" s="17">
        <v>35.590000000000003</v>
      </c>
      <c r="D175" s="17">
        <v>32.6</v>
      </c>
      <c r="E175" s="17">
        <v>226.46</v>
      </c>
      <c r="F175" s="17">
        <v>260.37</v>
      </c>
      <c r="G175" s="17">
        <v>314.87</v>
      </c>
    </row>
    <row r="176" spans="1:7">
      <c r="A176" s="212" t="s">
        <v>311</v>
      </c>
      <c r="B176" s="29"/>
      <c r="C176" s="17">
        <f>C174-C175</f>
        <v>-10.800000000000004</v>
      </c>
      <c r="D176" s="17">
        <f>D174-D175</f>
        <v>-6.3500000000000014</v>
      </c>
      <c r="E176" s="17">
        <f>E174-E175</f>
        <v>-170.42000000000002</v>
      </c>
      <c r="F176" s="17">
        <f>F174-F175</f>
        <v>-183.68</v>
      </c>
      <c r="G176" s="17">
        <f>G174-G175</f>
        <v>-174.43</v>
      </c>
    </row>
    <row r="177" spans="1:14">
      <c r="C177" s="17"/>
      <c r="D177" s="17"/>
      <c r="E177" s="17"/>
      <c r="F177" s="17"/>
      <c r="G177" s="17"/>
    </row>
    <row r="178" spans="1:14">
      <c r="A178" s="93" t="s">
        <v>312</v>
      </c>
      <c r="B178" s="34"/>
      <c r="C178" s="18">
        <f>'Balance Sheet'!C9</f>
        <v>2033.63</v>
      </c>
      <c r="D178" s="18">
        <f>'Balance Sheet'!D9</f>
        <v>1227.03</v>
      </c>
      <c r="E178" s="18">
        <f>'Balance Sheet'!E9</f>
        <v>2060.77</v>
      </c>
      <c r="F178" s="18">
        <f>'Balance Sheet'!F9</f>
        <v>2060.77</v>
      </c>
      <c r="G178" s="18">
        <f>'Balance Sheet'!G9</f>
        <v>2060.77</v>
      </c>
    </row>
    <row r="179" spans="1:14">
      <c r="A179" s="83" t="s">
        <v>104</v>
      </c>
      <c r="C179" s="18">
        <f>'Balance Sheet'!C31</f>
        <v>16118.099999999999</v>
      </c>
      <c r="D179" s="18">
        <f>'Balance Sheet'!D31</f>
        <v>17613.940000000002</v>
      </c>
      <c r="E179" s="18">
        <f>'Balance Sheet'!E31</f>
        <v>21012.259999999995</v>
      </c>
      <c r="F179" s="18">
        <f>'Balance Sheet'!F31</f>
        <v>26585.239999999998</v>
      </c>
      <c r="G179" s="18">
        <f>'Balance Sheet'!G31</f>
        <v>31199.239999999998</v>
      </c>
    </row>
    <row r="180" spans="1:14">
      <c r="A180" s="212" t="s">
        <v>313</v>
      </c>
      <c r="B180" s="29"/>
      <c r="C180" s="22">
        <f>C178/C179</f>
        <v>0.12617057841805177</v>
      </c>
      <c r="D180" s="22">
        <f>D178/D179</f>
        <v>6.9662437819136419E-2</v>
      </c>
      <c r="E180" s="22">
        <f>E178/E179</f>
        <v>9.8074647848446592E-2</v>
      </c>
      <c r="F180" s="22">
        <f>F178/F179</f>
        <v>7.7515568789298134E-2</v>
      </c>
      <c r="G180" s="22">
        <f>G178/G179</f>
        <v>6.6051929470076834E-2</v>
      </c>
    </row>
    <row r="181" spans="1:14">
      <c r="C181" s="17"/>
      <c r="D181" s="17"/>
      <c r="E181" s="17"/>
      <c r="F181" s="17"/>
      <c r="G181" s="17"/>
    </row>
    <row r="182" spans="1:14">
      <c r="A182" s="93" t="s">
        <v>314</v>
      </c>
      <c r="B182" s="1"/>
      <c r="C182" s="17"/>
      <c r="D182" s="17" t="s">
        <v>130</v>
      </c>
      <c r="E182" s="17"/>
      <c r="F182" s="17">
        <v>2009</v>
      </c>
      <c r="G182" s="17" t="s">
        <v>125</v>
      </c>
      <c r="H182" t="s">
        <v>126</v>
      </c>
    </row>
    <row r="183" spans="1:14">
      <c r="A183" s="83" t="s">
        <v>315</v>
      </c>
      <c r="C183" s="17"/>
      <c r="D183" s="17">
        <v>2.8050000000000002</v>
      </c>
      <c r="E183" s="17"/>
      <c r="F183" s="17">
        <v>2009</v>
      </c>
      <c r="G183" s="17" t="s">
        <v>127</v>
      </c>
      <c r="H183" t="s">
        <v>126</v>
      </c>
    </row>
    <row r="184" spans="1:14">
      <c r="A184" s="83" t="s">
        <v>316</v>
      </c>
      <c r="C184" s="17"/>
      <c r="D184" s="17" t="s">
        <v>423</v>
      </c>
      <c r="E184" s="17"/>
      <c r="F184" s="17">
        <v>2011</v>
      </c>
      <c r="G184" s="17" t="s">
        <v>122</v>
      </c>
      <c r="H184" t="s">
        <v>123</v>
      </c>
      <c r="I184" t="s">
        <v>124</v>
      </c>
    </row>
    <row r="185" spans="1:14">
      <c r="A185" s="83" t="s">
        <v>317</v>
      </c>
      <c r="C185" s="17"/>
      <c r="D185" s="17"/>
      <c r="E185" s="17"/>
      <c r="F185" s="17">
        <v>2015</v>
      </c>
      <c r="G185" s="17" t="s">
        <v>128</v>
      </c>
      <c r="H185" t="s">
        <v>132</v>
      </c>
      <c r="I185" t="s">
        <v>131</v>
      </c>
      <c r="L185" t="s">
        <v>180</v>
      </c>
    </row>
    <row r="186" spans="1:14">
      <c r="C186" s="17"/>
      <c r="D186" s="17"/>
      <c r="E186" s="17"/>
      <c r="F186" s="17">
        <v>2022</v>
      </c>
      <c r="G186" s="17" t="s">
        <v>130</v>
      </c>
      <c r="H186" t="s">
        <v>132</v>
      </c>
      <c r="I186" t="s">
        <v>129</v>
      </c>
      <c r="M186" t="s">
        <v>425</v>
      </c>
      <c r="N186" t="s">
        <v>91</v>
      </c>
    </row>
    <row r="187" spans="1:14">
      <c r="A187" s="93" t="s">
        <v>318</v>
      </c>
      <c r="B187" s="1"/>
      <c r="C187" s="17"/>
      <c r="D187" s="17"/>
      <c r="E187" s="17"/>
      <c r="F187" s="17">
        <v>2025</v>
      </c>
      <c r="G187" s="17" t="s">
        <v>180</v>
      </c>
      <c r="H187" t="s">
        <v>123</v>
      </c>
      <c r="I187">
        <v>80.680000000000007</v>
      </c>
      <c r="J187" t="s">
        <v>424</v>
      </c>
      <c r="K187" t="s">
        <v>181</v>
      </c>
      <c r="L187">
        <v>2023</v>
      </c>
      <c r="M187">
        <v>813.7</v>
      </c>
      <c r="N187">
        <f>M187*0.1</f>
        <v>81.37</v>
      </c>
    </row>
    <row r="188" spans="1:14" ht="15.75">
      <c r="A188" s="83" t="s">
        <v>319</v>
      </c>
      <c r="C188" s="17"/>
      <c r="D188" s="17"/>
      <c r="E188" s="17"/>
      <c r="F188" s="17"/>
      <c r="G188" s="17"/>
      <c r="H188" t="s">
        <v>91</v>
      </c>
      <c r="I188" s="24">
        <v>8</v>
      </c>
      <c r="J188" s="16" t="s">
        <v>424</v>
      </c>
      <c r="L188">
        <v>2024</v>
      </c>
      <c r="M188">
        <v>772.1</v>
      </c>
      <c r="N188">
        <f>M188*0.1</f>
        <v>77.210000000000008</v>
      </c>
    </row>
    <row r="189" spans="1:14">
      <c r="C189" s="17"/>
      <c r="D189" s="17"/>
      <c r="E189" s="17"/>
      <c r="F189" s="17">
        <v>2026</v>
      </c>
      <c r="G189" s="17" t="s">
        <v>121</v>
      </c>
      <c r="H189" t="s">
        <v>426</v>
      </c>
      <c r="L189">
        <v>2025</v>
      </c>
      <c r="M189">
        <v>765.5</v>
      </c>
      <c r="N189">
        <f>M189*0.1</f>
        <v>76.55</v>
      </c>
    </row>
    <row r="190" spans="1:14">
      <c r="A190" s="83" t="s">
        <v>320</v>
      </c>
      <c r="C190" s="17"/>
      <c r="D190" s="17"/>
      <c r="E190" s="17"/>
      <c r="F190" s="17"/>
      <c r="G190" s="17"/>
    </row>
    <row r="191" spans="1:14">
      <c r="A191" s="83" t="s">
        <v>321</v>
      </c>
      <c r="C191" s="17"/>
      <c r="D191" s="17"/>
      <c r="E191" s="17"/>
      <c r="F191" s="17"/>
      <c r="G191" s="17"/>
    </row>
    <row r="192" spans="1:14">
      <c r="A192" s="212" t="s">
        <v>322</v>
      </c>
      <c r="B192" s="29"/>
      <c r="C192" s="17"/>
      <c r="D192" s="17"/>
      <c r="E192" s="17"/>
      <c r="F192" s="17"/>
      <c r="G192" s="17"/>
    </row>
    <row r="193" spans="1:7">
      <c r="C193" s="17"/>
      <c r="D193" s="17"/>
      <c r="E193" s="17"/>
      <c r="F193" s="17"/>
      <c r="G193" s="17"/>
    </row>
    <row r="194" spans="1:7">
      <c r="A194" s="83" t="s">
        <v>323</v>
      </c>
      <c r="C194" s="17"/>
      <c r="D194" s="17"/>
      <c r="E194" s="17"/>
      <c r="F194" s="17"/>
      <c r="G194" s="17"/>
    </row>
    <row r="195" spans="1:7">
      <c r="C195" s="17"/>
      <c r="D195" s="17"/>
      <c r="E195" s="17"/>
      <c r="F195" s="17"/>
      <c r="G195" s="17"/>
    </row>
    <row r="196" spans="1:7">
      <c r="A196" s="93" t="s">
        <v>324</v>
      </c>
      <c r="B196" s="1"/>
      <c r="C196" s="17"/>
      <c r="D196" s="17"/>
      <c r="E196" s="17"/>
      <c r="F196" s="17"/>
      <c r="G196" s="17"/>
    </row>
    <row r="197" spans="1:7">
      <c r="A197" s="93"/>
      <c r="B197" s="1"/>
      <c r="C197" s="17"/>
      <c r="D197" s="17"/>
      <c r="E197" s="17"/>
      <c r="F197" s="17"/>
      <c r="G197" s="17"/>
    </row>
    <row r="198" spans="1:7">
      <c r="A198" s="93" t="s">
        <v>325</v>
      </c>
      <c r="B198" s="1"/>
      <c r="C198" s="17">
        <v>550.72</v>
      </c>
      <c r="D198" s="17">
        <v>377.41</v>
      </c>
      <c r="E198" s="17">
        <v>394.65</v>
      </c>
      <c r="F198" s="18">
        <v>1069.45</v>
      </c>
      <c r="G198" s="18">
        <v>1069.8699999999999</v>
      </c>
    </row>
    <row r="199" spans="1:7">
      <c r="A199" s="83" t="s">
        <v>326</v>
      </c>
      <c r="C199" s="18">
        <f>'Balance Sheet'!C38</f>
        <v>9844.76</v>
      </c>
      <c r="D199" s="18">
        <f>'Balance Sheet'!D38</f>
        <v>12119.1</v>
      </c>
      <c r="E199" s="18">
        <f>'Balance Sheet'!E38</f>
        <v>15624.55</v>
      </c>
      <c r="F199" s="18">
        <f>'Balance Sheet'!F38</f>
        <v>19467.59</v>
      </c>
      <c r="G199" s="18">
        <f>'Balance Sheet'!G38</f>
        <v>22665.140000000003</v>
      </c>
    </row>
    <row r="200" spans="1:7">
      <c r="A200" s="212" t="s">
        <v>327</v>
      </c>
      <c r="B200" s="29"/>
      <c r="C200" s="36">
        <f>C198/C199</f>
        <v>5.5940419065573975E-2</v>
      </c>
      <c r="D200" s="22">
        <f>D198/D199</f>
        <v>3.1141751450190196E-2</v>
      </c>
      <c r="E200" s="22">
        <f>E198/E199</f>
        <v>2.5258327439830267E-2</v>
      </c>
      <c r="F200" s="36">
        <f>F198/F199</f>
        <v>5.4934894355182125E-2</v>
      </c>
      <c r="G200" s="22">
        <f>G198/G199</f>
        <v>4.720332634168594E-2</v>
      </c>
    </row>
    <row r="201" spans="1:7">
      <c r="C201" s="17"/>
      <c r="D201" s="17"/>
      <c r="E201" s="17"/>
      <c r="F201" s="17"/>
      <c r="G201" s="17"/>
    </row>
    <row r="202" spans="1:7">
      <c r="A202" s="93" t="s">
        <v>328</v>
      </c>
      <c r="B202" s="1"/>
      <c r="C202" s="17">
        <v>548.27</v>
      </c>
      <c r="D202" s="17">
        <v>980.54</v>
      </c>
      <c r="E202" s="45">
        <v>0</v>
      </c>
      <c r="F202" s="45">
        <v>0</v>
      </c>
      <c r="G202" s="17">
        <v>93.63</v>
      </c>
    </row>
    <row r="203" spans="1:7">
      <c r="A203" s="212" t="s">
        <v>327</v>
      </c>
      <c r="B203" s="29"/>
      <c r="C203" s="22">
        <f>C202/C199</f>
        <v>5.5691555710855316E-2</v>
      </c>
      <c r="D203" s="22">
        <f>D202/D199</f>
        <v>8.0908648331971839E-2</v>
      </c>
      <c r="E203" s="22">
        <f>E202/E199</f>
        <v>0</v>
      </c>
      <c r="F203" s="22">
        <f>F202/F199</f>
        <v>0</v>
      </c>
      <c r="G203" s="22">
        <f>G202/G199</f>
        <v>4.1310135300289333E-3</v>
      </c>
    </row>
    <row r="204" spans="1:7">
      <c r="C204" s="17"/>
      <c r="D204" s="17"/>
      <c r="E204" s="17"/>
      <c r="F204" s="17"/>
      <c r="G204" s="17"/>
    </row>
    <row r="205" spans="1:7" ht="30">
      <c r="A205" s="215" t="s">
        <v>329</v>
      </c>
      <c r="B205" s="32"/>
      <c r="C205" s="17"/>
      <c r="D205" s="17"/>
      <c r="E205" s="17"/>
      <c r="F205" s="17"/>
      <c r="G205" s="17"/>
    </row>
    <row r="206" spans="1:7">
      <c r="A206" s="216" t="s">
        <v>330</v>
      </c>
      <c r="B206" s="31"/>
      <c r="C206" s="17" t="s">
        <v>121</v>
      </c>
      <c r="D206" s="17"/>
      <c r="E206" s="17"/>
      <c r="F206" s="17"/>
      <c r="G206" s="17"/>
    </row>
    <row r="207" spans="1:7">
      <c r="A207" s="216" t="s">
        <v>331</v>
      </c>
      <c r="B207" s="31"/>
      <c r="C207" s="17" t="s">
        <v>121</v>
      </c>
      <c r="D207" s="17"/>
      <c r="E207" s="17"/>
      <c r="F207" s="17"/>
      <c r="G207" s="17"/>
    </row>
    <row r="208" spans="1:7" ht="30">
      <c r="A208" s="216" t="s">
        <v>332</v>
      </c>
      <c r="B208" s="31"/>
      <c r="C208" s="17" t="s">
        <v>121</v>
      </c>
      <c r="D208" s="17"/>
      <c r="E208" s="17"/>
      <c r="F208" s="17"/>
      <c r="G208" s="17"/>
    </row>
    <row r="209" spans="1:7">
      <c r="A209" s="216"/>
      <c r="B209" s="31"/>
      <c r="C209" s="17"/>
      <c r="D209" s="17"/>
      <c r="E209" s="17"/>
      <c r="F209" s="17"/>
      <c r="G209" s="17"/>
    </row>
    <row r="210" spans="1:7">
      <c r="A210" s="93" t="s">
        <v>333</v>
      </c>
      <c r="B210" s="1"/>
      <c r="C210" s="17">
        <f>3521750+9866667</f>
        <v>13388417</v>
      </c>
      <c r="D210" s="17">
        <f>3169160+5866667+2519366</f>
        <v>11555193</v>
      </c>
      <c r="E210" s="17">
        <f>2203429+5866667+2519366</f>
        <v>10589462</v>
      </c>
      <c r="F210" s="17">
        <f>7880000+1014749+1100000</f>
        <v>9994749</v>
      </c>
      <c r="G210" s="17">
        <f>7873500+604999</f>
        <v>8478499</v>
      </c>
    </row>
    <row r="211" spans="1:7">
      <c r="A211" s="83" t="s">
        <v>334</v>
      </c>
      <c r="C211" s="17">
        <v>151914481</v>
      </c>
      <c r="D211" s="17">
        <v>156326888</v>
      </c>
      <c r="E211" s="223">
        <v>159223482</v>
      </c>
      <c r="F211" s="223">
        <v>162322753</v>
      </c>
      <c r="G211" s="223">
        <v>166564716</v>
      </c>
    </row>
    <row r="212" spans="1:7">
      <c r="A212" s="213" t="s">
        <v>335</v>
      </c>
      <c r="B212" s="6"/>
      <c r="C212" s="22">
        <f>C210/C211</f>
        <v>8.8131275648435384E-2</v>
      </c>
      <c r="D212" s="22">
        <f>D210/D211</f>
        <v>7.3916861954035698E-2</v>
      </c>
      <c r="E212" s="22">
        <f>E210/E211</f>
        <v>6.6506911336105562E-2</v>
      </c>
      <c r="F212" s="22">
        <f>F210/F211</f>
        <v>6.1573308826274036E-2</v>
      </c>
      <c r="G212" s="22">
        <f>G210/G211</f>
        <v>5.0902131037163956E-2</v>
      </c>
    </row>
    <row r="213" spans="1:7">
      <c r="A213" s="213"/>
      <c r="B213" s="6"/>
      <c r="C213" s="17"/>
      <c r="D213" s="17"/>
      <c r="E213" s="17"/>
      <c r="F213" s="17"/>
      <c r="G213" s="17"/>
    </row>
    <row r="214" spans="1:7">
      <c r="A214" s="93" t="s">
        <v>336</v>
      </c>
      <c r="B214" s="1"/>
      <c r="C214" s="18"/>
      <c r="D214" s="17"/>
      <c r="E214" s="17"/>
      <c r="F214" s="17"/>
      <c r="G214" s="17"/>
    </row>
    <row r="215" spans="1:7">
      <c r="C215" s="17"/>
      <c r="D215" s="17"/>
      <c r="E215" s="17"/>
      <c r="F215" s="17"/>
      <c r="G215" s="17"/>
    </row>
    <row r="216" spans="1:7">
      <c r="A216" s="93" t="s">
        <v>337</v>
      </c>
      <c r="B216" s="1"/>
      <c r="C216" s="17" t="s">
        <v>417</v>
      </c>
      <c r="D216" s="17" t="s">
        <v>417</v>
      </c>
      <c r="E216" s="17" t="s">
        <v>417</v>
      </c>
      <c r="F216" s="17" t="s">
        <v>417</v>
      </c>
      <c r="G216" s="17" t="s">
        <v>417</v>
      </c>
    </row>
    <row r="217" spans="1:7">
      <c r="A217" s="213"/>
      <c r="B217" s="6"/>
      <c r="C217" s="17"/>
      <c r="D217" s="17"/>
      <c r="E217" s="17"/>
      <c r="F217" s="17"/>
      <c r="G217" s="17"/>
    </row>
    <row r="218" spans="1:7">
      <c r="A218" s="93" t="s">
        <v>338</v>
      </c>
      <c r="B218" s="1"/>
      <c r="C218" s="17"/>
      <c r="D218" s="17"/>
      <c r="E218" s="17"/>
      <c r="F218" s="17"/>
      <c r="G218" s="17"/>
    </row>
    <row r="219" spans="1:7">
      <c r="A219" s="93" t="s">
        <v>339</v>
      </c>
      <c r="B219" s="1"/>
      <c r="C219" s="17"/>
      <c r="D219" s="17"/>
      <c r="E219" s="17"/>
      <c r="F219" s="17"/>
      <c r="G219" s="17"/>
    </row>
    <row r="220" spans="1:7">
      <c r="A220" s="83" t="s">
        <v>340</v>
      </c>
      <c r="C220" s="17"/>
      <c r="D220" s="17"/>
      <c r="E220" s="17"/>
      <c r="F220" s="17"/>
      <c r="G220" s="17"/>
    </row>
    <row r="221" spans="1:7">
      <c r="A221" s="213"/>
      <c r="B221" s="6"/>
      <c r="C221" s="17"/>
      <c r="D221" s="17"/>
      <c r="E221" s="17"/>
      <c r="F221" s="17"/>
      <c r="G221" s="17"/>
    </row>
    <row r="222" spans="1:7">
      <c r="A222" s="93" t="s">
        <v>341</v>
      </c>
      <c r="B222" s="1"/>
      <c r="C222" s="17"/>
      <c r="D222" s="17"/>
      <c r="E222" s="17"/>
      <c r="F222" s="17"/>
      <c r="G222" s="17"/>
    </row>
    <row r="223" spans="1:7">
      <c r="A223" s="216"/>
      <c r="B223" s="31"/>
      <c r="C223" s="17"/>
      <c r="D223" s="17"/>
      <c r="E223" s="17"/>
      <c r="F223" s="17"/>
      <c r="G223" s="17"/>
    </row>
    <row r="224" spans="1:7">
      <c r="A224" s="216"/>
      <c r="B224" s="31"/>
      <c r="C224" s="17"/>
      <c r="D224" s="17"/>
      <c r="E224" s="17"/>
      <c r="F224" s="17"/>
      <c r="G224" s="17"/>
    </row>
    <row r="225" spans="1:7">
      <c r="C225" s="17"/>
      <c r="D225" s="17"/>
      <c r="E225" s="17"/>
      <c r="F225" s="17"/>
      <c r="G225" s="17"/>
    </row>
    <row r="226" spans="1:7">
      <c r="A226" s="93" t="s">
        <v>342</v>
      </c>
      <c r="B226" s="1"/>
      <c r="C226" s="18">
        <f>'Cash Flows'!B33</f>
        <v>2423.58</v>
      </c>
      <c r="D226" s="18">
        <f>'Cash Flows'!C33</f>
        <v>3540.9399999999987</v>
      </c>
      <c r="E226" s="18">
        <f>'Cash Flows'!D33</f>
        <v>5152.6099999999988</v>
      </c>
      <c r="F226" s="18">
        <f>'Cash Flows'!E33</f>
        <v>5626.4899999999989</v>
      </c>
      <c r="G226" s="18">
        <f>'Cash Flows'!F33</f>
        <v>5954.3199999999988</v>
      </c>
    </row>
    <row r="227" spans="1:7">
      <c r="A227" s="212" t="s">
        <v>343</v>
      </c>
      <c r="B227" s="29"/>
      <c r="C227" s="17"/>
      <c r="D227" s="22">
        <f>D226/C226-1</f>
        <v>0.46103697835433488</v>
      </c>
      <c r="E227" s="22">
        <f>E226/D226-1</f>
        <v>0.45515315142306867</v>
      </c>
      <c r="F227" s="22">
        <f>F226/E226-1</f>
        <v>9.1968924486813597E-2</v>
      </c>
      <c r="G227" s="22">
        <f>G226/F226-1</f>
        <v>5.826545501724878E-2</v>
      </c>
    </row>
    <row r="228" spans="1:7">
      <c r="A228" s="213"/>
      <c r="B228" s="6"/>
      <c r="C228" s="17"/>
      <c r="D228" s="17"/>
      <c r="E228" s="17"/>
      <c r="F228" s="17"/>
      <c r="G228" s="17"/>
    </row>
    <row r="229" spans="1:7">
      <c r="A229" s="93" t="s">
        <v>344</v>
      </c>
      <c r="B229" s="34"/>
      <c r="C229" s="18">
        <f>'Cash Flows'!B36+'Cash Flows'!B40-'Cash Flows'!B39</f>
        <v>1254.47</v>
      </c>
      <c r="D229" s="18">
        <f>'Cash Flows'!C36+'Cash Flows'!C40-'Cash Flows'!C39</f>
        <v>-281.59000000000157</v>
      </c>
      <c r="E229" s="18">
        <f>'Cash Flows'!D36+'Cash Flows'!D40-'Cash Flows'!D39</f>
        <v>2114.8799999999987</v>
      </c>
      <c r="F229" s="18">
        <f>'Cash Flows'!E36+'Cash Flows'!E40-'Cash Flows'!E39</f>
        <v>3292.2999999999988</v>
      </c>
      <c r="G229" s="18">
        <f>'Cash Flows'!F36+'Cash Flows'!F40-'Cash Flows'!F39</f>
        <v>3257.5399999999991</v>
      </c>
    </row>
    <row r="230" spans="1:7">
      <c r="A230" s="83" t="s">
        <v>345</v>
      </c>
      <c r="C230" s="18">
        <f>'Income Statement '!B4</f>
        <v>13060.9</v>
      </c>
      <c r="D230" s="18">
        <f>'Income Statement '!C4</f>
        <v>15896.71</v>
      </c>
      <c r="E230" s="18">
        <f>'Income Statement '!D4</f>
        <v>19147.3</v>
      </c>
      <c r="F230" s="18">
        <f>'Income Statement '!E4</f>
        <v>22646.77</v>
      </c>
      <c r="G230" s="18">
        <f>'Income Statement '!F4</f>
        <v>24245.32</v>
      </c>
    </row>
    <row r="231" spans="1:7">
      <c r="A231" s="217" t="s">
        <v>346</v>
      </c>
      <c r="B231" s="30"/>
      <c r="C231" s="22">
        <f>C229/C230</f>
        <v>9.6047745561178788E-2</v>
      </c>
      <c r="D231" s="22">
        <f>D229/D230</f>
        <v>-1.7713728186524228E-2</v>
      </c>
      <c r="E231" s="22">
        <f>E229/E230</f>
        <v>0.11045317094316164</v>
      </c>
      <c r="F231" s="22">
        <f>F229/F230</f>
        <v>0.1453761397320677</v>
      </c>
      <c r="G231" s="22">
        <f>G229/G230</f>
        <v>0.13435747599949183</v>
      </c>
    </row>
    <row r="232" spans="1:7">
      <c r="A232" s="213"/>
      <c r="B232" s="6"/>
      <c r="C232" s="17"/>
      <c r="D232" s="17"/>
      <c r="E232" s="17"/>
      <c r="F232" s="17"/>
      <c r="G232" s="17"/>
    </row>
    <row r="233" spans="1:7">
      <c r="A233" s="93" t="s">
        <v>347</v>
      </c>
      <c r="B233" s="34"/>
      <c r="C233" s="18">
        <f>'Cash Flows'!B36</f>
        <v>1854.42</v>
      </c>
      <c r="D233" s="18">
        <f>'Cash Flows'!C36</f>
        <v>2565.1199999999985</v>
      </c>
      <c r="E233" s="18">
        <f>'Cash Flows'!D36</f>
        <v>4067.6299999999987</v>
      </c>
      <c r="F233" s="18">
        <f>'Cash Flows'!E36</f>
        <v>4398.9199999999992</v>
      </c>
      <c r="G233" s="18">
        <f>'Cash Flows'!F36</f>
        <v>4825.2799999999988</v>
      </c>
    </row>
    <row r="234" spans="1:7">
      <c r="A234" s="212" t="s">
        <v>348</v>
      </c>
      <c r="B234" s="29"/>
      <c r="C234" s="17"/>
      <c r="D234" s="22">
        <f>D233/C233-1</f>
        <v>0.38324651373475183</v>
      </c>
      <c r="E234" s="22">
        <f>E233/D233-1</f>
        <v>0.58574647579840367</v>
      </c>
      <c r="F234" s="22">
        <f>F233/E233-1</f>
        <v>8.1445460870334996E-2</v>
      </c>
      <c r="G234" s="22">
        <f>G233/F233-1</f>
        <v>9.69237903849125E-2</v>
      </c>
    </row>
    <row r="235" spans="1:7">
      <c r="A235" s="212" t="s">
        <v>349</v>
      </c>
      <c r="B235" s="29"/>
      <c r="C235" s="22">
        <f>'Income Statement '!B86</f>
        <v>0.24873553889854444</v>
      </c>
      <c r="D235" s="22">
        <f>'Income Statement '!C86</f>
        <v>0.14093356424065084</v>
      </c>
      <c r="E235" s="22">
        <f>'Income Statement '!D86</f>
        <v>0.15512944383803451</v>
      </c>
      <c r="F235" s="22">
        <f>'Income Statement '!E86</f>
        <v>0.153284993842389</v>
      </c>
      <c r="G235" s="22">
        <f>'Income Statement '!F86</f>
        <v>0.1536201625715807</v>
      </c>
    </row>
    <row r="236" spans="1:7">
      <c r="A236" s="212"/>
      <c r="B236" s="29"/>
      <c r="C236" s="17"/>
      <c r="D236" s="17"/>
      <c r="E236" s="17"/>
      <c r="F236" s="17"/>
      <c r="G236" s="17"/>
    </row>
    <row r="237" spans="1:7">
      <c r="A237" s="93" t="s">
        <v>350</v>
      </c>
      <c r="B237" s="34"/>
      <c r="C237" s="18">
        <f>'Income Statement '!B54-'Income Statement '!B83</f>
        <v>3903.3399999999992</v>
      </c>
      <c r="D237" s="18">
        <f>'Income Statement '!C54-'Income Statement '!C83</f>
        <v>3322.7799999999966</v>
      </c>
      <c r="E237" s="18">
        <f>'Income Statement '!D54-'Income Statement '!D83</f>
        <v>4503.739999999998</v>
      </c>
      <c r="F237" s="18">
        <f>'Income Statement '!E54-'Income Statement '!E83</f>
        <v>4980.9799999999996</v>
      </c>
      <c r="G237" s="18">
        <f>'Income Statement '!F54-'Income Statement '!F83</f>
        <v>5216.3299999999972</v>
      </c>
    </row>
    <row r="238" spans="1:7">
      <c r="A238" s="212" t="s">
        <v>351</v>
      </c>
      <c r="B238" s="29"/>
      <c r="C238" s="17"/>
      <c r="D238" s="22">
        <f>D237/C237-1</f>
        <v>-0.14873416100057968</v>
      </c>
      <c r="E238" s="22">
        <f>E237/D237-1</f>
        <v>0.35541323831249816</v>
      </c>
      <c r="F238" s="22">
        <f>F237/E237-1</f>
        <v>0.10596526442467846</v>
      </c>
      <c r="G238" s="22">
        <f>G237/F237-1</f>
        <v>4.7249738003364294E-2</v>
      </c>
    </row>
    <row r="239" spans="1:7">
      <c r="A239" s="213"/>
      <c r="B239" s="6"/>
      <c r="C239" s="17"/>
      <c r="D239" s="17"/>
      <c r="E239" s="17"/>
      <c r="F239" s="17"/>
      <c r="G239" s="17"/>
    </row>
    <row r="240" spans="1:7">
      <c r="A240" s="93" t="s">
        <v>352</v>
      </c>
      <c r="B240" s="1"/>
      <c r="C240" s="36">
        <f>C233/C237</f>
        <v>0.47508543964912114</v>
      </c>
      <c r="D240" s="36">
        <f>D233/D237</f>
        <v>0.77198008896165293</v>
      </c>
      <c r="E240" s="22">
        <f>E233/E237</f>
        <v>0.90316714552793909</v>
      </c>
      <c r="F240" s="22">
        <f>F233/F237</f>
        <v>0.88314347778951119</v>
      </c>
      <c r="G240" s="22">
        <f>G233/G237</f>
        <v>0.92503350056457345</v>
      </c>
    </row>
    <row r="241" spans="1:7">
      <c r="A241" s="93"/>
      <c r="B241" s="1"/>
      <c r="C241" s="17"/>
      <c r="D241" s="17"/>
      <c r="E241" s="17"/>
      <c r="F241" s="17"/>
      <c r="G241" s="17"/>
    </row>
    <row r="242" spans="1:7">
      <c r="A242" s="93" t="s">
        <v>353</v>
      </c>
      <c r="B242" s="1"/>
      <c r="C242" s="22">
        <f>C226/'Income Statement '!B54</f>
        <v>0.53946284762875685</v>
      </c>
      <c r="D242" s="22">
        <f>D226/'Income Statement '!C54</f>
        <v>0.86430794390812493</v>
      </c>
      <c r="E242" s="22">
        <f>E226/'Income Statement '!D54</f>
        <v>0.92981386074293304</v>
      </c>
      <c r="F242" s="22">
        <f>F226/'Income Statement '!E54</f>
        <v>0.91041170455133835</v>
      </c>
      <c r="G242" s="22">
        <f>G226/'Income Statement '!F54</f>
        <v>0.92027541865335449</v>
      </c>
    </row>
    <row r="243" spans="1:7">
      <c r="A243" s="97"/>
      <c r="B243" s="9"/>
      <c r="C243" s="17"/>
      <c r="D243" s="17"/>
      <c r="E243" s="17"/>
      <c r="F243" s="17"/>
      <c r="G243" s="17"/>
    </row>
    <row r="244" spans="1:7">
      <c r="A244" s="93" t="s">
        <v>354</v>
      </c>
      <c r="B244" s="1"/>
      <c r="C244" s="17">
        <f>-'Cash Flows'!B40</f>
        <v>550.86</v>
      </c>
      <c r="D244" s="17">
        <f>-'Cash Flows'!C40</f>
        <v>2839.67</v>
      </c>
      <c r="E244" s="17">
        <f>-'Cash Flows'!D40</f>
        <v>1933.18</v>
      </c>
      <c r="F244" s="17">
        <f>-'Cash Flows'!E40</f>
        <v>1083.76</v>
      </c>
      <c r="G244" s="17">
        <f>-'Cash Flows'!F40</f>
        <v>1543.37</v>
      </c>
    </row>
    <row r="245" spans="1:7">
      <c r="A245" s="212" t="s">
        <v>355</v>
      </c>
      <c r="B245" s="29"/>
      <c r="C245" s="22">
        <f>C244/C233</f>
        <v>0.29705244766557737</v>
      </c>
      <c r="D245" s="22">
        <f>D244/D233</f>
        <v>1.1070320296906195</v>
      </c>
      <c r="E245" s="22">
        <f>E244/E233</f>
        <v>0.47525954917236835</v>
      </c>
      <c r="F245" s="22">
        <f>F244/F233</f>
        <v>0.24636956343829855</v>
      </c>
      <c r="G245" s="22">
        <f>G244/G233</f>
        <v>0.31985086875787527</v>
      </c>
    </row>
    <row r="246" spans="1:7">
      <c r="A246" s="97"/>
      <c r="B246" s="9" t="s">
        <v>451</v>
      </c>
      <c r="C246" s="17"/>
      <c r="D246" s="17"/>
      <c r="E246" s="17"/>
      <c r="F246" s="17"/>
      <c r="G246" s="17"/>
    </row>
    <row r="247" spans="1:7">
      <c r="A247" s="93" t="s">
        <v>356</v>
      </c>
      <c r="B247" s="1">
        <v>321.16000000000003</v>
      </c>
      <c r="C247" s="17">
        <f>-'Cash Flows'!B51</f>
        <v>362.6</v>
      </c>
      <c r="D247" s="17">
        <f>-'Cash Flows'!C51</f>
        <v>226.44</v>
      </c>
      <c r="E247" s="17">
        <f>-'Cash Flows'!D51</f>
        <v>154.06</v>
      </c>
      <c r="F247" s="17">
        <f>-'Cash Flows'!E51</f>
        <v>1135.1500000000001</v>
      </c>
      <c r="G247" s="17">
        <f>-'Cash Flows'!F51</f>
        <v>1063.1600000000001</v>
      </c>
    </row>
    <row r="248" spans="1:7">
      <c r="A248" s="93" t="s">
        <v>98</v>
      </c>
      <c r="B248" s="1"/>
      <c r="C248" s="46">
        <f>'Income Statement '!B85</f>
        <v>3248.7099999999991</v>
      </c>
      <c r="D248" s="46">
        <f>'Income Statement '!C85</f>
        <v>2240.3799999999965</v>
      </c>
      <c r="E248" s="46">
        <f>'Income Statement '!D85</f>
        <v>2970.3099999999981</v>
      </c>
      <c r="F248" s="46">
        <f>'Income Statement '!E85</f>
        <v>3471.41</v>
      </c>
      <c r="G248" s="46">
        <f>'Income Statement '!F85</f>
        <v>3724.569999999997</v>
      </c>
    </row>
    <row r="249" spans="1:7">
      <c r="A249" s="212" t="s">
        <v>458</v>
      </c>
      <c r="B249" s="1"/>
      <c r="C249" s="22">
        <f>C247/C248</f>
        <v>0.1116135327560786</v>
      </c>
      <c r="D249" s="22">
        <f t="shared" ref="D249:G249" si="8">D247/D248</f>
        <v>0.10107213954775544</v>
      </c>
      <c r="E249" s="22">
        <f t="shared" si="8"/>
        <v>5.1866640182337907E-2</v>
      </c>
      <c r="F249" s="22">
        <f t="shared" si="8"/>
        <v>0.32699969176789839</v>
      </c>
      <c r="G249" s="22">
        <f t="shared" si="8"/>
        <v>0.28544503123850562</v>
      </c>
    </row>
    <row r="250" spans="1:7">
      <c r="A250" s="212" t="s">
        <v>357</v>
      </c>
      <c r="B250" s="29"/>
      <c r="C250" s="17"/>
      <c r="D250" s="17"/>
      <c r="E250" s="17"/>
      <c r="F250" s="17"/>
      <c r="G250" s="17"/>
    </row>
    <row r="251" spans="1:7">
      <c r="A251" s="212"/>
      <c r="B251" s="29"/>
      <c r="C251" s="17"/>
      <c r="D251" s="17"/>
      <c r="E251" s="17"/>
      <c r="F251" s="17"/>
      <c r="G251" s="17"/>
    </row>
    <row r="252" spans="1:7">
      <c r="A252" s="93" t="s">
        <v>358</v>
      </c>
      <c r="B252" s="1"/>
      <c r="C252" s="18">
        <f>C226</f>
        <v>2423.58</v>
      </c>
      <c r="D252" s="18">
        <f>C252+D226</f>
        <v>5964.5199999999986</v>
      </c>
      <c r="E252" s="18">
        <f>D252+E226</f>
        <v>11117.129999999997</v>
      </c>
      <c r="F252" s="18">
        <f>E252+F226</f>
        <v>16743.619999999995</v>
      </c>
      <c r="G252" s="18">
        <f>F252+G226</f>
        <v>22697.939999999995</v>
      </c>
    </row>
    <row r="253" spans="1:7">
      <c r="A253" s="93" t="s">
        <v>359</v>
      </c>
      <c r="B253" s="1"/>
      <c r="C253" s="18">
        <f>C237</f>
        <v>3903.3399999999992</v>
      </c>
      <c r="D253" s="18">
        <f>C253+D237</f>
        <v>7226.1199999999953</v>
      </c>
      <c r="E253" s="18">
        <f>D253+E237</f>
        <v>11729.859999999993</v>
      </c>
      <c r="F253" s="18">
        <f>E253+F237</f>
        <v>16710.839999999993</v>
      </c>
      <c r="G253" s="18">
        <f>F253+G237</f>
        <v>21927.169999999991</v>
      </c>
    </row>
    <row r="254" spans="1:7">
      <c r="C254" s="46">
        <f>C252/C253</f>
        <v>0.62089902493761762</v>
      </c>
      <c r="D254" s="46">
        <f>D252/D253</f>
        <v>0.82541114733771404</v>
      </c>
      <c r="E254" s="46">
        <f>E252/E253</f>
        <v>0.94776322991067274</v>
      </c>
      <c r="F254" s="46">
        <f>F252/F253</f>
        <v>1.0019616009727819</v>
      </c>
      <c r="G254" s="46">
        <f>G252/G253</f>
        <v>1.0351513670026731</v>
      </c>
    </row>
    <row r="255" spans="1:7">
      <c r="C255" s="17"/>
      <c r="D255" s="17"/>
      <c r="E255" s="17"/>
      <c r="F255" s="17"/>
      <c r="G255" s="17"/>
    </row>
    <row r="256" spans="1:7">
      <c r="A256" s="93" t="s">
        <v>421</v>
      </c>
      <c r="B256" s="1"/>
      <c r="C256" s="18">
        <f>C233</f>
        <v>1854.42</v>
      </c>
      <c r="D256" s="18">
        <f>C256+D233</f>
        <v>4419.5399999999991</v>
      </c>
      <c r="E256" s="18">
        <f>D256+E233</f>
        <v>8487.1699999999983</v>
      </c>
      <c r="F256" s="18">
        <f>E256+F233</f>
        <v>12886.089999999997</v>
      </c>
      <c r="G256" s="18">
        <f>F256+G233</f>
        <v>17711.369999999995</v>
      </c>
    </row>
    <row r="257" spans="1:12">
      <c r="A257" s="93" t="s">
        <v>359</v>
      </c>
      <c r="B257" s="1"/>
      <c r="C257" s="188">
        <v>2383.8329963478777</v>
      </c>
      <c r="D257" s="188">
        <v>5709.6007273123341</v>
      </c>
      <c r="E257" s="188">
        <v>10212.999582085589</v>
      </c>
      <c r="F257" s="188">
        <v>14713.846788928535</v>
      </c>
      <c r="G257" s="188">
        <v>20143.390181865605</v>
      </c>
    </row>
    <row r="258" spans="1:12">
      <c r="C258" s="221">
        <f>C256/C257</f>
        <v>0.77791523266983953</v>
      </c>
      <c r="D258" s="221">
        <f>D256/D257</f>
        <v>0.77405412586186173</v>
      </c>
      <c r="E258" s="46">
        <f>E256/E257</f>
        <v>0.83101638571367098</v>
      </c>
      <c r="F258" s="46">
        <f>F256/F257</f>
        <v>0.87577981372594982</v>
      </c>
      <c r="G258" s="46">
        <f>G256/G257</f>
        <v>0.87926460442318821</v>
      </c>
    </row>
    <row r="259" spans="1:12">
      <c r="C259" s="17"/>
      <c r="D259" s="17"/>
      <c r="E259" s="17"/>
      <c r="F259" s="17"/>
      <c r="G259" s="17"/>
    </row>
    <row r="260" spans="1:12">
      <c r="A260" s="83" t="s">
        <v>449</v>
      </c>
      <c r="C260" s="17">
        <v>53.06</v>
      </c>
      <c r="D260" s="17">
        <v>30.77</v>
      </c>
      <c r="E260" s="17">
        <v>54.33</v>
      </c>
      <c r="F260" s="17">
        <v>56.35</v>
      </c>
      <c r="G260" s="17">
        <v>82.38</v>
      </c>
      <c r="H260">
        <v>100</v>
      </c>
      <c r="I260">
        <v>100</v>
      </c>
      <c r="J260">
        <v>100</v>
      </c>
      <c r="K260">
        <v>100</v>
      </c>
      <c r="L260">
        <v>100</v>
      </c>
    </row>
    <row r="261" spans="1:12">
      <c r="A261" s="83" t="s">
        <v>450</v>
      </c>
      <c r="C261" s="17">
        <v>0.04</v>
      </c>
      <c r="D261" s="17">
        <v>0.04</v>
      </c>
      <c r="E261" s="17">
        <v>0</v>
      </c>
      <c r="F261" s="17">
        <v>219.85</v>
      </c>
      <c r="G261" s="17">
        <v>437.5</v>
      </c>
    </row>
    <row r="262" spans="1:12">
      <c r="C262" s="17"/>
      <c r="D262" s="17"/>
      <c r="E262" s="17"/>
      <c r="F262" s="17"/>
      <c r="G262" s="17"/>
    </row>
    <row r="263" spans="1:12">
      <c r="A263" s="83" t="s">
        <v>453</v>
      </c>
      <c r="C263" s="17">
        <v>480.24</v>
      </c>
      <c r="D263" s="17">
        <v>586.36</v>
      </c>
      <c r="E263" s="17">
        <v>934.62</v>
      </c>
      <c r="F263" s="18">
        <v>1328.33</v>
      </c>
      <c r="G263" s="18">
        <v>1322.74</v>
      </c>
      <c r="H263" s="24">
        <f>G266</f>
        <v>1429.61</v>
      </c>
      <c r="I263" s="24">
        <f t="shared" ref="I263:L263" si="9">H266</f>
        <v>1530.5282989261145</v>
      </c>
      <c r="J263" s="24">
        <f t="shared" si="9"/>
        <v>1652.2122129397774</v>
      </c>
      <c r="K263" s="24">
        <f t="shared" si="9"/>
        <v>1788.5938682536687</v>
      </c>
      <c r="L263" s="24">
        <f t="shared" si="9"/>
        <v>1941.482693432785</v>
      </c>
    </row>
    <row r="264" spans="1:12">
      <c r="A264" s="83" t="s">
        <v>456</v>
      </c>
      <c r="C264" s="17">
        <v>206</v>
      </c>
      <c r="D264" s="17">
        <v>595.13</v>
      </c>
      <c r="E264" s="17">
        <v>847.66</v>
      </c>
      <c r="F264" s="17">
        <v>310.89999999999998</v>
      </c>
      <c r="G264" s="17">
        <v>185.34</v>
      </c>
      <c r="H264" s="24">
        <f>'Income Statement '!G33</f>
        <v>175.01822328966105</v>
      </c>
      <c r="I264" s="24">
        <f>'Income Statement '!H33</f>
        <v>211.03112775607994</v>
      </c>
      <c r="J264" s="24">
        <f>'Income Statement '!I33</f>
        <v>236.52078222023599</v>
      </c>
      <c r="K264" s="24">
        <f>'Income Statement '!J33</f>
        <v>265.14845006734754</v>
      </c>
      <c r="L264" s="24">
        <f>'Income Statement '!K33</f>
        <v>297.30529947932007</v>
      </c>
    </row>
    <row r="265" spans="1:12">
      <c r="A265" s="83" t="s">
        <v>455</v>
      </c>
      <c r="C265" s="17">
        <v>-99.89</v>
      </c>
      <c r="D265" s="17">
        <v>-246.87</v>
      </c>
      <c r="E265" s="17">
        <v>-456.04</v>
      </c>
      <c r="F265" s="17">
        <v>-316.49</v>
      </c>
      <c r="G265" s="17">
        <v>-78.47</v>
      </c>
      <c r="H265" s="24">
        <f>'Income Statement '!G32</f>
        <v>-74.099924363546464</v>
      </c>
      <c r="I265" s="24">
        <f>'Income Statement '!H32</f>
        <v>-89.347213742417139</v>
      </c>
      <c r="J265" s="24">
        <f>'Income Statement '!I32</f>
        <v>-100.13912690634466</v>
      </c>
      <c r="K265" s="24">
        <f>'Income Statement '!J32</f>
        <v>-112.25962488823116</v>
      </c>
      <c r="L265" s="24">
        <f>'Income Statement '!K32</f>
        <v>-125.87432205752803</v>
      </c>
    </row>
    <row r="266" spans="1:12">
      <c r="A266" s="83" t="s">
        <v>430</v>
      </c>
      <c r="C266" s="17">
        <f t="shared" ref="C266:L266" si="10">SUM(C263:C265)</f>
        <v>586.35</v>
      </c>
      <c r="D266" s="17">
        <f t="shared" si="10"/>
        <v>934.62</v>
      </c>
      <c r="E266" s="17">
        <f t="shared" si="10"/>
        <v>1326.24</v>
      </c>
      <c r="F266" s="17">
        <f t="shared" si="10"/>
        <v>1322.74</v>
      </c>
      <c r="G266" s="17">
        <f t="shared" si="10"/>
        <v>1429.61</v>
      </c>
      <c r="H266" s="24">
        <f t="shared" si="10"/>
        <v>1530.5282989261145</v>
      </c>
      <c r="I266" s="24">
        <f t="shared" si="10"/>
        <v>1652.2122129397774</v>
      </c>
      <c r="J266" s="24">
        <f t="shared" si="10"/>
        <v>1788.5938682536687</v>
      </c>
      <c r="K266" s="24">
        <f t="shared" si="10"/>
        <v>1941.482693432785</v>
      </c>
      <c r="L266" s="24">
        <f t="shared" si="10"/>
        <v>2112.913670854577</v>
      </c>
    </row>
    <row r="267" spans="1:12">
      <c r="C267" s="18"/>
      <c r="D267" s="18">
        <f t="shared" ref="D267:F267" si="11">D266-C266</f>
        <v>348.27</v>
      </c>
      <c r="E267" s="18">
        <f t="shared" si="11"/>
        <v>391.62</v>
      </c>
      <c r="F267" s="18">
        <f t="shared" si="11"/>
        <v>-3.5</v>
      </c>
      <c r="G267" s="18">
        <f>G266-F266</f>
        <v>106.86999999999989</v>
      </c>
      <c r="H267" s="2"/>
      <c r="I267" s="2"/>
      <c r="J267" s="2"/>
      <c r="K267" s="2"/>
      <c r="L267" s="2"/>
    </row>
    <row r="268" spans="1:12">
      <c r="C268" s="18"/>
      <c r="D268" s="18"/>
      <c r="E268" s="18"/>
      <c r="F268" s="18"/>
      <c r="G268" s="18"/>
      <c r="H268" s="2"/>
      <c r="I268" s="2"/>
      <c r="J268" s="2"/>
      <c r="K268" s="2"/>
      <c r="L268" s="2"/>
    </row>
    <row r="269" spans="1:12">
      <c r="A269" s="83" t="s">
        <v>457</v>
      </c>
      <c r="C269" s="17">
        <v>109.56</v>
      </c>
      <c r="D269" s="17">
        <f>C272</f>
        <v>97.67</v>
      </c>
      <c r="E269" s="17">
        <f t="shared" ref="E269:L269" si="12">D272</f>
        <v>81.050000000000011</v>
      </c>
      <c r="F269" s="17">
        <f t="shared" si="12"/>
        <v>61.780000000000015</v>
      </c>
      <c r="G269" s="17">
        <f t="shared" si="12"/>
        <v>50.030000000000015</v>
      </c>
      <c r="H269">
        <f t="shared" si="12"/>
        <v>85.030000000000015</v>
      </c>
      <c r="I269">
        <f t="shared" si="12"/>
        <v>118.08081372147481</v>
      </c>
      <c r="J269">
        <f t="shared" si="12"/>
        <v>157.9323809571649</v>
      </c>
      <c r="K269">
        <f t="shared" si="12"/>
        <v>202.59746878336679</v>
      </c>
      <c r="L269">
        <f t="shared" si="12"/>
        <v>252.66866632495072</v>
      </c>
    </row>
    <row r="270" spans="1:12">
      <c r="A270" s="83" t="s">
        <v>456</v>
      </c>
      <c r="C270" s="17"/>
      <c r="D270" s="17">
        <v>7.78</v>
      </c>
      <c r="E270" s="17">
        <v>3.7</v>
      </c>
      <c r="F270" s="17"/>
      <c r="G270" s="17">
        <v>35</v>
      </c>
      <c r="H270" s="24">
        <f>'Cash Flows'!G17</f>
        <v>33.050813721474789</v>
      </c>
      <c r="I270" s="24">
        <f>'Cash Flows'!H17</f>
        <v>39.851567235690077</v>
      </c>
      <c r="J270" s="24">
        <f>'Cash Flows'!I17</f>
        <v>44.665087826201898</v>
      </c>
      <c r="K270" s="24">
        <f>'Cash Flows'!J17</f>
        <v>50.071197541583928</v>
      </c>
      <c r="L270" s="24">
        <f>'Cash Flows'!K17</f>
        <v>56.143765413705637</v>
      </c>
    </row>
    <row r="271" spans="1:12">
      <c r="A271" s="83" t="s">
        <v>455</v>
      </c>
      <c r="C271" s="17">
        <v>-11.89</v>
      </c>
      <c r="D271" s="17">
        <v>-24.4</v>
      </c>
      <c r="E271" s="17">
        <f>-17.23-(5.74)</f>
        <v>-22.97</v>
      </c>
      <c r="F271" s="17">
        <f>-4.75-(7)</f>
        <v>-11.75</v>
      </c>
      <c r="G271" s="224"/>
    </row>
    <row r="272" spans="1:12">
      <c r="A272" s="83" t="s">
        <v>430</v>
      </c>
      <c r="C272" s="17">
        <f>SUM(C269:C271)</f>
        <v>97.67</v>
      </c>
      <c r="D272" s="17">
        <f>SUM(D269:D271)</f>
        <v>81.050000000000011</v>
      </c>
      <c r="E272" s="17">
        <f>SUM(E269:E271)</f>
        <v>61.780000000000015</v>
      </c>
      <c r="F272" s="17">
        <f>SUM(F269:F271)</f>
        <v>50.030000000000015</v>
      </c>
      <c r="G272" s="17">
        <f>SUM(G269:G271)</f>
        <v>85.030000000000015</v>
      </c>
      <c r="H272" s="24">
        <f t="shared" ref="H272:L272" si="13">SUM(H269:H271)</f>
        <v>118.08081372147481</v>
      </c>
      <c r="I272" s="24">
        <f t="shared" si="13"/>
        <v>157.9323809571649</v>
      </c>
      <c r="J272" s="24">
        <f t="shared" si="13"/>
        <v>202.59746878336679</v>
      </c>
      <c r="K272" s="24">
        <f t="shared" si="13"/>
        <v>252.66866632495072</v>
      </c>
      <c r="L272" s="24">
        <f t="shared" si="13"/>
        <v>308.81243173865636</v>
      </c>
    </row>
    <row r="273" spans="1:12">
      <c r="C273" s="17"/>
      <c r="D273" s="17">
        <f t="shared" ref="D273:F273" si="14">D272-C272</f>
        <v>-16.61999999999999</v>
      </c>
      <c r="E273" s="17">
        <f t="shared" si="14"/>
        <v>-19.269999999999996</v>
      </c>
      <c r="F273" s="17">
        <f t="shared" si="14"/>
        <v>-11.75</v>
      </c>
      <c r="G273" s="17">
        <f>G272-F272</f>
        <v>35</v>
      </c>
    </row>
    <row r="274" spans="1:12">
      <c r="A274" s="83" t="s">
        <v>460</v>
      </c>
      <c r="C274" s="17"/>
      <c r="D274" s="18"/>
      <c r="E274" s="18"/>
      <c r="F274" s="18"/>
      <c r="G274" s="18">
        <f>G267-G273</f>
        <v>71.869999999999891</v>
      </c>
      <c r="H274" s="2"/>
      <c r="I274" s="2"/>
      <c r="J274" s="2"/>
      <c r="K274" s="2"/>
      <c r="L274" s="2"/>
    </row>
    <row r="275" spans="1:12">
      <c r="A275" s="83" t="s">
        <v>427</v>
      </c>
      <c r="C275" s="17"/>
      <c r="D275" s="17"/>
      <c r="E275" s="17"/>
      <c r="F275" s="18"/>
      <c r="G275" s="17">
        <v>662.8</v>
      </c>
      <c r="H275" s="2">
        <f>G278</f>
        <v>449.30999999999995</v>
      </c>
      <c r="I275" s="2">
        <f t="shared" ref="I275:L275" si="15">H278</f>
        <v>449.30999999999995</v>
      </c>
      <c r="J275" s="2">
        <f t="shared" si="15"/>
        <v>449.30999999999995</v>
      </c>
      <c r="K275" s="2">
        <f t="shared" si="15"/>
        <v>449.30999999999995</v>
      </c>
      <c r="L275" s="2">
        <f t="shared" si="15"/>
        <v>449.30999999999995</v>
      </c>
    </row>
    <row r="276" spans="1:12">
      <c r="A276" s="83" t="s">
        <v>454</v>
      </c>
      <c r="C276" s="17"/>
      <c r="D276" s="18"/>
      <c r="E276" s="17"/>
      <c r="F276" s="17"/>
      <c r="G276" s="17">
        <v>314.07</v>
      </c>
      <c r="H276" s="2">
        <f>'Income Statement '!G23</f>
        <v>0</v>
      </c>
      <c r="I276" s="2">
        <f>'Income Statement '!H23</f>
        <v>0</v>
      </c>
      <c r="J276" s="2">
        <f>'Income Statement '!I23</f>
        <v>0</v>
      </c>
      <c r="K276" s="2">
        <f>'Income Statement '!J23</f>
        <v>0</v>
      </c>
      <c r="L276" s="2">
        <f>'Income Statement '!K23</f>
        <v>0</v>
      </c>
    </row>
    <row r="277" spans="1:12">
      <c r="A277" s="83" t="s">
        <v>455</v>
      </c>
      <c r="C277" s="18"/>
      <c r="D277" s="18"/>
      <c r="E277" s="18"/>
      <c r="F277" s="18"/>
      <c r="G277" s="225">
        <v>-527.55999999999995</v>
      </c>
      <c r="H277" s="2"/>
      <c r="I277" s="2"/>
      <c r="J277" s="2"/>
      <c r="K277" s="2"/>
      <c r="L277" s="2"/>
    </row>
    <row r="278" spans="1:12">
      <c r="A278" s="83" t="s">
        <v>430</v>
      </c>
      <c r="C278" s="17"/>
      <c r="D278" s="17"/>
      <c r="E278" s="17"/>
      <c r="F278" s="17"/>
      <c r="G278" s="18">
        <f>SUM(G275:G277)</f>
        <v>449.30999999999995</v>
      </c>
      <c r="H278" s="2">
        <f t="shared" ref="H278:L278" si="16">H275+H276-H277</f>
        <v>449.30999999999995</v>
      </c>
      <c r="I278" s="2">
        <f t="shared" si="16"/>
        <v>449.30999999999995</v>
      </c>
      <c r="J278" s="2">
        <f t="shared" si="16"/>
        <v>449.30999999999995</v>
      </c>
      <c r="K278" s="2">
        <f t="shared" si="16"/>
        <v>449.30999999999995</v>
      </c>
      <c r="L278" s="2">
        <f t="shared" si="16"/>
        <v>449.30999999999995</v>
      </c>
    </row>
    <row r="279" spans="1:12">
      <c r="C279" s="17"/>
      <c r="D279" s="17"/>
      <c r="E279" s="17"/>
      <c r="F279" s="17"/>
      <c r="G279" s="17"/>
    </row>
    <row r="280" spans="1:12">
      <c r="A280" s="83" t="s">
        <v>461</v>
      </c>
      <c r="C280" s="46">
        <f t="shared" ref="C280:L280" si="17">C278+C272+C266</f>
        <v>684.02</v>
      </c>
      <c r="D280" s="46">
        <f t="shared" si="17"/>
        <v>1015.6700000000001</v>
      </c>
      <c r="E280" s="46">
        <f t="shared" si="17"/>
        <v>1388.02</v>
      </c>
      <c r="F280" s="46">
        <f t="shared" si="17"/>
        <v>1372.77</v>
      </c>
      <c r="G280" s="46">
        <f t="shared" si="17"/>
        <v>1963.9499999999998</v>
      </c>
      <c r="H280" s="24">
        <f t="shared" si="17"/>
        <v>2097.9191126475894</v>
      </c>
      <c r="I280" s="24">
        <f t="shared" si="17"/>
        <v>2259.4545938969422</v>
      </c>
      <c r="J280" s="24">
        <f t="shared" si="17"/>
        <v>2440.5013370370352</v>
      </c>
      <c r="K280" s="24">
        <f t="shared" si="17"/>
        <v>2643.4613597577354</v>
      </c>
      <c r="L280" s="24">
        <f t="shared" si="17"/>
        <v>2871.0361025932334</v>
      </c>
    </row>
    <row r="281" spans="1:12">
      <c r="A281" s="83" t="s">
        <v>462</v>
      </c>
      <c r="C281" s="17"/>
      <c r="D281" s="46">
        <f>D280-C280</f>
        <v>331.65000000000009</v>
      </c>
      <c r="E281" s="46">
        <f t="shared" ref="E281:L281" si="18">E280-D280</f>
        <v>372.34999999999991</v>
      </c>
      <c r="F281" s="46">
        <f t="shared" si="18"/>
        <v>-15.25</v>
      </c>
      <c r="G281" s="46">
        <f t="shared" si="18"/>
        <v>591.17999999999984</v>
      </c>
      <c r="H281" s="24">
        <f t="shared" si="18"/>
        <v>133.96911264758955</v>
      </c>
      <c r="I281" s="24">
        <f t="shared" si="18"/>
        <v>161.53548124935287</v>
      </c>
      <c r="J281" s="24">
        <f t="shared" si="18"/>
        <v>181.04674314009299</v>
      </c>
      <c r="K281" s="24">
        <f t="shared" si="18"/>
        <v>202.96002272070018</v>
      </c>
      <c r="L281" s="24">
        <f t="shared" si="18"/>
        <v>227.574742835498</v>
      </c>
    </row>
    <row r="282" spans="1:12">
      <c r="A282" s="83" t="s">
        <v>463</v>
      </c>
      <c r="C282" s="17"/>
      <c r="D282" s="18">
        <f>D276+D270+D264</f>
        <v>602.91</v>
      </c>
      <c r="E282" s="18">
        <f t="shared" ref="E282:L282" si="19">E276+E270+E264</f>
        <v>851.36</v>
      </c>
      <c r="F282" s="18">
        <f t="shared" si="19"/>
        <v>310.89999999999998</v>
      </c>
      <c r="G282" s="18">
        <f>G276+G270+G264</f>
        <v>534.41</v>
      </c>
      <c r="H282" s="2">
        <f t="shared" si="19"/>
        <v>208.06903701113583</v>
      </c>
      <c r="I282" s="2">
        <f t="shared" si="19"/>
        <v>250.88269499177002</v>
      </c>
      <c r="J282" s="2">
        <f t="shared" si="19"/>
        <v>281.18587004643791</v>
      </c>
      <c r="K282" s="2">
        <f t="shared" si="19"/>
        <v>315.2196476089315</v>
      </c>
      <c r="L282" s="2">
        <f t="shared" si="19"/>
        <v>353.44906489302571</v>
      </c>
    </row>
    <row r="283" spans="1:12">
      <c r="C283" s="17"/>
      <c r="D283" s="17"/>
      <c r="E283" s="17"/>
      <c r="F283" s="17"/>
      <c r="G283" s="17"/>
    </row>
    <row r="284" spans="1:12">
      <c r="A284" s="83" t="s">
        <v>464</v>
      </c>
      <c r="C284" s="17"/>
      <c r="D284" s="17"/>
      <c r="E284" s="17"/>
      <c r="F284" s="17"/>
      <c r="G284" s="17"/>
    </row>
    <row r="285" spans="1:12">
      <c r="A285" s="83" t="s">
        <v>465</v>
      </c>
      <c r="C285" s="17">
        <v>10.119999999999999</v>
      </c>
      <c r="D285" s="17">
        <v>5.56</v>
      </c>
      <c r="E285" s="17">
        <v>9.0299999999999994</v>
      </c>
      <c r="F285" s="17">
        <v>170.27</v>
      </c>
      <c r="G285" s="17">
        <v>174.43</v>
      </c>
      <c r="H285">
        <v>174.43</v>
      </c>
      <c r="I285">
        <v>174.43</v>
      </c>
      <c r="J285">
        <v>174.43</v>
      </c>
      <c r="K285">
        <v>174.43</v>
      </c>
      <c r="L285">
        <v>174.43</v>
      </c>
    </row>
    <row r="286" spans="1:12">
      <c r="A286" s="83" t="s">
        <v>466</v>
      </c>
      <c r="C286" s="17">
        <v>21.58</v>
      </c>
      <c r="D286" s="17">
        <v>19.23</v>
      </c>
      <c r="E286" s="17">
        <v>22.84</v>
      </c>
      <c r="F286" s="17">
        <v>69</v>
      </c>
      <c r="G286" s="18">
        <v>79.45</v>
      </c>
      <c r="H286" s="2">
        <v>79.45</v>
      </c>
      <c r="I286" s="2">
        <v>79.45</v>
      </c>
      <c r="J286" s="2">
        <v>79.45</v>
      </c>
      <c r="K286" s="2">
        <v>79.45</v>
      </c>
      <c r="L286" s="2">
        <v>79.45</v>
      </c>
    </row>
    <row r="287" spans="1:12">
      <c r="A287" s="83" t="s">
        <v>467</v>
      </c>
      <c r="C287" s="17">
        <v>0</v>
      </c>
      <c r="D287" s="17">
        <v>0</v>
      </c>
      <c r="E287" s="17">
        <v>0</v>
      </c>
      <c r="F287" s="17">
        <v>0</v>
      </c>
      <c r="G287" s="1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 s="83" t="s">
        <v>472</v>
      </c>
      <c r="C288" s="17">
        <f t="shared" ref="C288:F288" si="20">SUM(C285:C287)</f>
        <v>31.699999999999996</v>
      </c>
      <c r="D288" s="17">
        <f t="shared" si="20"/>
        <v>24.79</v>
      </c>
      <c r="E288" s="17">
        <f t="shared" si="20"/>
        <v>31.869999999999997</v>
      </c>
      <c r="F288" s="17">
        <f t="shared" si="20"/>
        <v>239.27</v>
      </c>
      <c r="G288" s="17">
        <f>SUM(G285:G287)</f>
        <v>253.88</v>
      </c>
      <c r="H288">
        <f t="shared" ref="H288:L288" si="21">SUM(H285:H287)</f>
        <v>253.88</v>
      </c>
      <c r="I288">
        <f t="shared" si="21"/>
        <v>253.88</v>
      </c>
      <c r="J288">
        <f t="shared" si="21"/>
        <v>253.88</v>
      </c>
      <c r="K288">
        <f t="shared" si="21"/>
        <v>253.88</v>
      </c>
      <c r="L288">
        <f t="shared" si="21"/>
        <v>253.88</v>
      </c>
    </row>
    <row r="289" spans="1:12">
      <c r="C289" s="17"/>
      <c r="D289" s="17"/>
      <c r="E289" s="17"/>
      <c r="F289" s="17"/>
      <c r="G289" s="17"/>
    </row>
    <row r="290" spans="1:12">
      <c r="A290" s="83" t="s">
        <v>468</v>
      </c>
      <c r="C290" s="17"/>
      <c r="D290" s="17"/>
      <c r="E290" s="17"/>
      <c r="F290" s="17"/>
      <c r="G290" s="17"/>
    </row>
    <row r="291" spans="1:12">
      <c r="A291" s="83" t="s">
        <v>465</v>
      </c>
      <c r="C291" s="17">
        <v>0.68</v>
      </c>
      <c r="D291" s="17">
        <v>0.79</v>
      </c>
      <c r="E291" s="17">
        <v>1.72</v>
      </c>
      <c r="F291" s="17">
        <v>16.420000000000002</v>
      </c>
      <c r="G291" s="17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>
      <c r="A292" s="83" t="s">
        <v>466</v>
      </c>
      <c r="C292" s="17">
        <v>5.77</v>
      </c>
      <c r="D292" s="17">
        <v>7.28</v>
      </c>
      <c r="E292" s="17">
        <v>8.25</v>
      </c>
      <c r="F292" s="17">
        <v>18.670000000000002</v>
      </c>
      <c r="G292" s="17">
        <v>25.78</v>
      </c>
      <c r="H292">
        <v>25.78</v>
      </c>
      <c r="I292">
        <v>25.78</v>
      </c>
      <c r="J292">
        <v>25.78</v>
      </c>
      <c r="K292">
        <v>25.78</v>
      </c>
      <c r="L292">
        <v>25.78</v>
      </c>
    </row>
    <row r="293" spans="1:12">
      <c r="A293" s="83" t="s">
        <v>460</v>
      </c>
      <c r="C293" s="18">
        <f t="shared" ref="C293:F293" si="22">C278</f>
        <v>0</v>
      </c>
      <c r="D293" s="18">
        <f t="shared" si="22"/>
        <v>0</v>
      </c>
      <c r="E293" s="18">
        <f t="shared" si="22"/>
        <v>0</v>
      </c>
      <c r="F293" s="18">
        <f t="shared" si="22"/>
        <v>0</v>
      </c>
      <c r="G293" s="18">
        <f>G278</f>
        <v>449.30999999999995</v>
      </c>
      <c r="H293" s="2">
        <f t="shared" ref="H293:L293" si="23">H278</f>
        <v>449.30999999999995</v>
      </c>
      <c r="I293" s="2">
        <f t="shared" si="23"/>
        <v>449.30999999999995</v>
      </c>
      <c r="J293" s="2">
        <f t="shared" si="23"/>
        <v>449.30999999999995</v>
      </c>
      <c r="K293" s="2">
        <f t="shared" si="23"/>
        <v>449.30999999999995</v>
      </c>
      <c r="L293" s="2">
        <f t="shared" si="23"/>
        <v>449.30999999999995</v>
      </c>
    </row>
    <row r="294" spans="1:12">
      <c r="A294" s="83" t="s">
        <v>471</v>
      </c>
      <c r="C294" s="17">
        <f t="shared" ref="C294" si="24">SUM(C291:C293)</f>
        <v>6.4499999999999993</v>
      </c>
      <c r="D294" s="17">
        <f t="shared" ref="D294" si="25">SUM(D291:D293)</f>
        <v>8.07</v>
      </c>
      <c r="E294" s="17">
        <f t="shared" ref="E294" si="26">SUM(E291:E293)</f>
        <v>9.9700000000000006</v>
      </c>
      <c r="F294" s="17">
        <f t="shared" ref="F294" si="27">SUM(F291:F293)</f>
        <v>35.090000000000003</v>
      </c>
      <c r="G294" s="17">
        <f>SUM(G291:G293)</f>
        <v>475.08999999999992</v>
      </c>
      <c r="H294" s="24">
        <f t="shared" ref="H294:L294" si="28">SUM(H291:H293)</f>
        <v>475.08999999999992</v>
      </c>
      <c r="I294" s="24">
        <f t="shared" si="28"/>
        <v>475.08999999999992</v>
      </c>
      <c r="J294" s="24">
        <f t="shared" si="28"/>
        <v>475.08999999999992</v>
      </c>
      <c r="K294" s="24">
        <f t="shared" si="28"/>
        <v>475.08999999999992</v>
      </c>
      <c r="L294" s="24">
        <f t="shared" si="28"/>
        <v>475.08999999999992</v>
      </c>
    </row>
    <row r="295" spans="1:12">
      <c r="A295" s="83" t="s">
        <v>469</v>
      </c>
      <c r="C295" s="17">
        <v>586.35</v>
      </c>
      <c r="D295" s="17">
        <v>934.62</v>
      </c>
      <c r="E295" s="17">
        <v>1326.24</v>
      </c>
      <c r="F295" s="17">
        <v>1322.74</v>
      </c>
      <c r="G295" s="17">
        <v>1429.61</v>
      </c>
      <c r="H295" s="24">
        <v>1529.3764107344928</v>
      </c>
      <c r="I295" s="24">
        <v>1650.8438515073321</v>
      </c>
      <c r="J295" s="24">
        <v>1788.4826816734146</v>
      </c>
      <c r="K295" s="24">
        <v>1944.6942741813198</v>
      </c>
      <c r="L295" s="24">
        <v>2122.2864673936169</v>
      </c>
    </row>
    <row r="296" spans="1:12">
      <c r="A296" s="83" t="s">
        <v>470</v>
      </c>
      <c r="C296" s="17">
        <v>97.67</v>
      </c>
      <c r="D296" s="17">
        <v>81.050000000000011</v>
      </c>
      <c r="E296" s="17">
        <v>61.780000000000015</v>
      </c>
      <c r="F296" s="17">
        <v>50.030000000000015</v>
      </c>
      <c r="G296" s="17">
        <v>85.030000000000015</v>
      </c>
      <c r="H296" s="24">
        <v>117.70356953033833</v>
      </c>
      <c r="I296" s="24">
        <v>157.48424162774054</v>
      </c>
      <c r="J296" s="24">
        <v>202.56105510030426</v>
      </c>
      <c r="K296" s="24">
        <v>253.72046127394208</v>
      </c>
      <c r="L296" s="24">
        <v>311.88202918290062</v>
      </c>
    </row>
    <row r="297" spans="1:12">
      <c r="C297" s="17"/>
      <c r="D297" s="17"/>
      <c r="E297" s="17"/>
      <c r="F297" s="17"/>
      <c r="G297" s="17"/>
    </row>
    <row r="298" spans="1:12">
      <c r="C298" s="17">
        <f>C288+C294+C295+C296</f>
        <v>722.17</v>
      </c>
      <c r="D298" s="17">
        <f>D288+D294+D295+D296</f>
        <v>1048.53</v>
      </c>
      <c r="E298" s="17">
        <f>E288+E294+E295+E296</f>
        <v>1429.86</v>
      </c>
      <c r="F298" s="17">
        <f>F288+F294+F295+F296</f>
        <v>1647.1299999999999</v>
      </c>
      <c r="G298" s="17">
        <f>G288+G294+G295+G296</f>
        <v>2243.61</v>
      </c>
    </row>
    <row r="299" spans="1:12">
      <c r="C299" s="17"/>
      <c r="D299" s="17">
        <f t="shared" ref="D299:F299" si="29">D298-C298</f>
        <v>326.36</v>
      </c>
      <c r="E299" s="17">
        <f t="shared" si="29"/>
        <v>381.32999999999993</v>
      </c>
      <c r="F299" s="17">
        <f t="shared" si="29"/>
        <v>217.26999999999998</v>
      </c>
      <c r="G299" s="17">
        <f>G298-F298</f>
        <v>596.48000000000025</v>
      </c>
    </row>
    <row r="301" spans="1:12">
      <c r="C301" s="55"/>
      <c r="D301" s="55"/>
      <c r="E301" s="55"/>
      <c r="F301" s="55"/>
      <c r="G301" s="55"/>
      <c r="H301" s="24">
        <f>'Income Statement '!F70/'Income Statement '!F$80*'Key Indicator'!H$308</f>
        <v>134.451851996237</v>
      </c>
      <c r="I301" s="24">
        <f>'Income Statement '!G70/'Income Statement '!G$80*'Key Indicator'!I$308</f>
        <v>95.010273481292629</v>
      </c>
      <c r="J301" s="24">
        <f>'Income Statement '!H70/'Income Statement '!H$80*'Key Indicator'!J$308</f>
        <v>27.971793444913256</v>
      </c>
      <c r="K301" s="24">
        <f>'Income Statement '!I70/'Income Statement '!I$80*'Key Indicator'!K$308</f>
        <v>11.826373321380116</v>
      </c>
      <c r="L301" s="24">
        <f>'Income Statement '!J70/'Income Statement '!J$80*'Key Indicator'!L$308</f>
        <v>3.7725226706528932</v>
      </c>
    </row>
    <row r="302" spans="1:12">
      <c r="C302" s="55"/>
      <c r="H302" s="24">
        <f>'Income Statement '!F71/'Income Statement '!F$80*'Key Indicator'!H$308</f>
        <v>78.680485991568204</v>
      </c>
      <c r="I302" s="24">
        <f>'Income Statement '!G71/'Income Statement '!G$80*'Key Indicator'!I$308</f>
        <v>25.468778859594529</v>
      </c>
      <c r="J302" s="24">
        <f>'Income Statement '!H71/'Income Statement '!H$80*'Key Indicator'!J$308</f>
        <v>10.600210697121756</v>
      </c>
      <c r="K302" s="24">
        <f>'Income Statement '!I71/'Income Statement '!I$80*'Key Indicator'!K$308</f>
        <v>3.3751968453437118</v>
      </c>
      <c r="L302" s="24">
        <f>'Income Statement '!J71/'Income Statement '!J$80*'Key Indicator'!L$308</f>
        <v>0</v>
      </c>
    </row>
    <row r="303" spans="1:12">
      <c r="C303" s="55"/>
      <c r="H303" s="24">
        <f>'Income Statement '!F72/'Income Statement '!F$80*'Key Indicator'!H$308</f>
        <v>21.091360174636691</v>
      </c>
      <c r="I303" s="24">
        <f>'Income Statement '!G72/'Income Statement '!G$80*'Key Indicator'!I$308</f>
        <v>9.6516665133317687</v>
      </c>
      <c r="J303" s="24">
        <f>'Income Statement '!H72/'Income Statement '!H$80*'Key Indicator'!J$308</f>
        <v>3.025255226826276</v>
      </c>
      <c r="K303" s="24">
        <f>'Income Statement '!I72/'Income Statement '!I$80*'Key Indicator'!K$308</f>
        <v>0</v>
      </c>
      <c r="L303" s="24">
        <f>'Income Statement '!J72/'Income Statement '!J$80*'Key Indicator'!L$308</f>
        <v>0</v>
      </c>
    </row>
    <row r="304" spans="1:12">
      <c r="C304" s="55"/>
      <c r="H304" s="24">
        <f>'Income Statement '!F73/'Income Statement '!F$80*'Key Indicator'!H$308</f>
        <v>7.9927968215670102</v>
      </c>
      <c r="I304" s="24">
        <f>'Income Statement '!G73/'Income Statement '!G$80*'Key Indicator'!I$308</f>
        <v>2.7545447351314749</v>
      </c>
      <c r="J304" s="24">
        <f>'Income Statement '!H73/'Income Statement '!H$80*'Key Indicator'!J$308</f>
        <v>0</v>
      </c>
      <c r="K304" s="24">
        <f>'Income Statement '!I73/'Income Statement '!I$80*'Key Indicator'!K$308</f>
        <v>0</v>
      </c>
      <c r="L304" s="24">
        <f>'Income Statement '!J73/'Income Statement '!J$80*'Key Indicator'!L$308</f>
        <v>0</v>
      </c>
    </row>
    <row r="305" spans="3:12">
      <c r="C305" s="55"/>
      <c r="H305" s="24">
        <f>'Income Statement '!F74/'Income Statement '!F$80*'Key Indicator'!H$308</f>
        <v>2.2811103526434278</v>
      </c>
      <c r="I305" s="24">
        <f>'Income Statement '!G74/'Income Statement '!G$80*'Key Indicator'!I$308</f>
        <v>0</v>
      </c>
      <c r="J305" s="24">
        <f>'Income Statement '!H74/'Income Statement '!H$80*'Key Indicator'!J$308</f>
        <v>0</v>
      </c>
      <c r="K305" s="24">
        <f>'Income Statement '!I74/'Income Statement '!I$80*'Key Indicator'!K$308</f>
        <v>0</v>
      </c>
      <c r="L305" s="24">
        <f>'Income Statement '!J74/'Income Statement '!J$80*'Key Indicator'!L$308</f>
        <v>0</v>
      </c>
    </row>
    <row r="306" spans="3:12">
      <c r="C306" s="55"/>
      <c r="H306" s="24">
        <f>'Income Statement '!F75/'Income Statement '!F$80*'Key Indicator'!H$308</f>
        <v>26.526818436794855</v>
      </c>
      <c r="I306" s="24">
        <f>'Income Statement '!G75/'Income Statement '!G$80*'Key Indicator'!I$308</f>
        <v>24.150911699115433</v>
      </c>
      <c r="J306" s="24">
        <f>'Income Statement '!H75/'Income Statement '!H$80*'Key Indicator'!J$308</f>
        <v>21.965555238527504</v>
      </c>
      <c r="K306" s="24">
        <f>'Income Statement '!I75/'Income Statement '!I$80*'Key Indicator'!K$308</f>
        <v>22.313468400380565</v>
      </c>
      <c r="L306" s="24">
        <f>'Income Statement '!J75/'Income Statement '!J$80*'Key Indicator'!L$308</f>
        <v>22.354386090739069</v>
      </c>
    </row>
    <row r="307" spans="3:12">
      <c r="C307" s="55"/>
      <c r="H307" s="24">
        <v>20</v>
      </c>
      <c r="I307" s="24">
        <v>20</v>
      </c>
      <c r="J307" s="24">
        <v>20</v>
      </c>
      <c r="K307" s="24">
        <v>20</v>
      </c>
      <c r="L307" s="24">
        <v>20</v>
      </c>
    </row>
    <row r="308" spans="3:12">
      <c r="H308" s="24">
        <v>4436.0378783189472</v>
      </c>
      <c r="I308" s="24">
        <v>5389.7852050733318</v>
      </c>
      <c r="J308" s="24">
        <v>5973.9243753569363</v>
      </c>
      <c r="K308" s="24">
        <v>6726.82778564412</v>
      </c>
      <c r="L308" s="24">
        <v>7595.1264071303312</v>
      </c>
    </row>
  </sheetData>
  <mergeCells count="15">
    <mergeCell ref="P86:Q86"/>
    <mergeCell ref="R86:S86"/>
    <mergeCell ref="I86:J86"/>
    <mergeCell ref="K86:L86"/>
    <mergeCell ref="N75:O75"/>
    <mergeCell ref="P75:Q75"/>
    <mergeCell ref="R75:S75"/>
    <mergeCell ref="I75:J75"/>
    <mergeCell ref="K75:L75"/>
    <mergeCell ref="N86:O86"/>
    <mergeCell ref="I85:J85"/>
    <mergeCell ref="R85:S85"/>
    <mergeCell ref="P85:Q85"/>
    <mergeCell ref="K85:L85"/>
    <mergeCell ref="N85:O85"/>
  </mergeCells>
  <pageMargins left="0.7" right="0.7" top="0.75" bottom="0.75" header="0.3" footer="0.3"/>
  <ignoredErrors>
    <ignoredError sqref="D212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F903-500E-4F2F-89A7-45EF25AD8304}">
  <dimension ref="A1:P23"/>
  <sheetViews>
    <sheetView showGridLines="0" workbookViewId="0">
      <selection activeCell="G17" sqref="G17"/>
    </sheetView>
  </sheetViews>
  <sheetFormatPr defaultRowHeight="15"/>
  <cols>
    <col min="1" max="1" width="34" bestFit="1" customWidth="1"/>
    <col min="2" max="2" width="9.140625" bestFit="1" customWidth="1"/>
    <col min="8" max="8" width="12.7109375" style="27" bestFit="1" customWidth="1"/>
    <col min="9" max="13" width="9.42578125" customWidth="1"/>
    <col min="14" max="14" width="0" hidden="1" customWidth="1"/>
    <col min="15" max="15" width="8.28515625" hidden="1" customWidth="1"/>
    <col min="16" max="16" width="7.85546875" hidden="1" customWidth="1"/>
    <col min="17" max="17" width="7.28515625" bestFit="1" customWidth="1"/>
  </cols>
  <sheetData>
    <row r="1" spans="1:16">
      <c r="H1" s="9" t="s">
        <v>118</v>
      </c>
    </row>
    <row r="2" spans="1:16">
      <c r="A2" s="231" t="s">
        <v>47</v>
      </c>
      <c r="B2" s="232">
        <v>2020</v>
      </c>
      <c r="C2" s="232">
        <v>2021</v>
      </c>
      <c r="D2" s="232">
        <f>C2+1</f>
        <v>2022</v>
      </c>
      <c r="E2" s="232">
        <f t="shared" ref="E2:L2" si="0">D2+1</f>
        <v>2023</v>
      </c>
      <c r="F2" s="232">
        <f t="shared" si="0"/>
        <v>2024</v>
      </c>
      <c r="G2" s="232">
        <f t="shared" si="0"/>
        <v>2025</v>
      </c>
      <c r="H2" s="233">
        <f>G2+1</f>
        <v>2026</v>
      </c>
      <c r="I2" s="234">
        <f t="shared" si="0"/>
        <v>2027</v>
      </c>
      <c r="J2" s="233">
        <f t="shared" si="0"/>
        <v>2028</v>
      </c>
      <c r="K2" s="233">
        <f t="shared" si="0"/>
        <v>2029</v>
      </c>
      <c r="L2" s="233">
        <f t="shared" si="0"/>
        <v>2030</v>
      </c>
      <c r="N2" t="s">
        <v>182</v>
      </c>
      <c r="O2" t="s">
        <v>206</v>
      </c>
      <c r="P2" t="s">
        <v>207</v>
      </c>
    </row>
    <row r="3" spans="1:16">
      <c r="A3" s="38"/>
      <c r="B3" s="17"/>
      <c r="C3" s="17"/>
      <c r="D3" s="17"/>
      <c r="E3" s="17"/>
      <c r="F3" s="17"/>
      <c r="G3" s="17">
        <f>G4/B4</f>
        <v>1.500637757059055</v>
      </c>
      <c r="H3" s="139"/>
      <c r="I3" s="226"/>
      <c r="J3" s="139"/>
      <c r="K3" s="139"/>
      <c r="L3" s="139"/>
      <c r="N3" s="4" t="s">
        <v>110</v>
      </c>
      <c r="O3" t="s">
        <v>208</v>
      </c>
      <c r="P3" t="s">
        <v>183</v>
      </c>
    </row>
    <row r="4" spans="1:16" s="1" customFormat="1">
      <c r="A4" s="42" t="s">
        <v>113</v>
      </c>
      <c r="B4" s="44">
        <v>9776.4500000000007</v>
      </c>
      <c r="C4" s="40">
        <v>8961.26</v>
      </c>
      <c r="D4" s="40">
        <v>12152.04</v>
      </c>
      <c r="E4" s="40">
        <v>15861.04</v>
      </c>
      <c r="F4" s="40">
        <v>13919.32</v>
      </c>
      <c r="G4" s="40">
        <v>14670.91</v>
      </c>
      <c r="H4" s="228">
        <f>G4*1.1</f>
        <v>16138.001000000002</v>
      </c>
      <c r="I4" s="229"/>
      <c r="J4" s="228"/>
      <c r="K4" s="228"/>
      <c r="L4" s="228"/>
      <c r="N4" s="1" t="s">
        <v>202</v>
      </c>
      <c r="O4" s="1" t="s">
        <v>203</v>
      </c>
    </row>
    <row r="5" spans="1:16" s="7" customFormat="1">
      <c r="A5" s="51"/>
      <c r="B5" s="48"/>
      <c r="C5" s="48">
        <f>C4/B4-1</f>
        <v>-8.3383027581586444E-2</v>
      </c>
      <c r="D5" s="48">
        <f>D4/C4-1</f>
        <v>0.35606376781836491</v>
      </c>
      <c r="E5" s="48">
        <f>E4/D4-1</f>
        <v>0.30521624352783561</v>
      </c>
      <c r="F5" s="48">
        <f>F4/E4-1</f>
        <v>-0.12242072398783443</v>
      </c>
      <c r="G5" s="48">
        <f>G4/F4-1</f>
        <v>5.3996172226804084E-2</v>
      </c>
      <c r="H5" s="227"/>
      <c r="I5" s="245"/>
      <c r="J5" s="227"/>
      <c r="K5" s="227"/>
      <c r="L5" s="227"/>
      <c r="N5" s="7" t="s">
        <v>204</v>
      </c>
      <c r="O5" s="7" t="s">
        <v>205</v>
      </c>
    </row>
    <row r="6" spans="1:16">
      <c r="A6" s="38"/>
      <c r="B6" s="17"/>
      <c r="C6" s="18"/>
      <c r="D6" s="18"/>
      <c r="E6" s="18"/>
      <c r="F6" s="18"/>
      <c r="G6" s="18"/>
      <c r="H6" s="149"/>
      <c r="I6" s="244"/>
      <c r="J6" s="149"/>
      <c r="K6" s="149"/>
      <c r="L6" s="149"/>
      <c r="N6" t="s">
        <v>213</v>
      </c>
      <c r="O6" t="s">
        <v>214</v>
      </c>
    </row>
    <row r="7" spans="1:16" s="1" customFormat="1">
      <c r="A7" s="42" t="s">
        <v>114</v>
      </c>
      <c r="B7" s="44">
        <v>1088.4100000000001</v>
      </c>
      <c r="C7" s="40">
        <v>1478.86</v>
      </c>
      <c r="D7" s="40">
        <v>1522.56</v>
      </c>
      <c r="E7" s="40">
        <v>1394.53</v>
      </c>
      <c r="F7" s="40">
        <v>5406.06</v>
      </c>
      <c r="G7" s="40">
        <v>5652.92</v>
      </c>
      <c r="H7" s="228">
        <f>G7*1.65</f>
        <v>9327.3179999999993</v>
      </c>
      <c r="I7" s="229"/>
      <c r="J7" s="228"/>
      <c r="K7" s="228"/>
      <c r="L7" s="228"/>
      <c r="N7" s="1" t="s">
        <v>209</v>
      </c>
    </row>
    <row r="8" spans="1:16" s="7" customFormat="1">
      <c r="A8" s="51"/>
      <c r="B8" s="48"/>
      <c r="C8" s="48">
        <f>C7/B7-1</f>
        <v>0.35873430049338006</v>
      </c>
      <c r="D8" s="48">
        <f>D7/C7-1</f>
        <v>2.9549788350486272E-2</v>
      </c>
      <c r="E8" s="48">
        <f>E7/D7-1</f>
        <v>-8.4088640184951657E-2</v>
      </c>
      <c r="F8" s="48">
        <f>F7/E7-1</f>
        <v>2.8766179286211129</v>
      </c>
      <c r="G8" s="48">
        <f>G7/F7-1</f>
        <v>4.5663570141655674E-2</v>
      </c>
      <c r="H8" s="227"/>
      <c r="I8" s="245"/>
      <c r="J8" s="227"/>
      <c r="K8" s="227"/>
      <c r="L8" s="227"/>
      <c r="N8" s="26" t="s">
        <v>210</v>
      </c>
      <c r="O8" s="25">
        <v>325</v>
      </c>
    </row>
    <row r="9" spans="1:16">
      <c r="A9" s="38"/>
      <c r="B9" s="17"/>
      <c r="C9" s="18"/>
      <c r="D9" s="18"/>
      <c r="E9" s="18"/>
      <c r="F9" s="18"/>
      <c r="G9" s="18"/>
      <c r="H9" s="149"/>
      <c r="I9" s="244"/>
      <c r="J9" s="149"/>
      <c r="K9" s="149"/>
      <c r="L9" s="149"/>
      <c r="N9" t="s">
        <v>211</v>
      </c>
      <c r="O9">
        <v>163</v>
      </c>
    </row>
    <row r="10" spans="1:16" s="1" customFormat="1">
      <c r="A10" s="42" t="s">
        <v>115</v>
      </c>
      <c r="B10" s="44">
        <v>356.96</v>
      </c>
      <c r="C10" s="44">
        <v>314.94</v>
      </c>
      <c r="D10" s="44">
        <v>275.52</v>
      </c>
      <c r="E10" s="44">
        <v>416.96</v>
      </c>
      <c r="F10" s="44">
        <v>567.71</v>
      </c>
      <c r="G10" s="44">
        <v>503.42</v>
      </c>
      <c r="H10" s="228">
        <f>G10*1.1</f>
        <v>553.76200000000006</v>
      </c>
      <c r="I10" s="229"/>
      <c r="J10" s="228"/>
      <c r="K10" s="228"/>
      <c r="L10" s="228"/>
      <c r="O10" s="27">
        <f>O8-O9</f>
        <v>162</v>
      </c>
      <c r="P10" s="1" t="s">
        <v>212</v>
      </c>
    </row>
    <row r="11" spans="1:16" s="7" customFormat="1">
      <c r="A11" s="51"/>
      <c r="B11" s="48"/>
      <c r="C11" s="48">
        <f>C10/B10-1</f>
        <v>-0.11771627073061408</v>
      </c>
      <c r="D11" s="48">
        <f>D10/C10-1</f>
        <v>-0.1251666984187465</v>
      </c>
      <c r="E11" s="48">
        <f>E10/D10-1</f>
        <v>0.51335656213704994</v>
      </c>
      <c r="F11" s="48">
        <f>F10/E10-1</f>
        <v>0.36154547198772069</v>
      </c>
      <c r="G11" s="48">
        <f>G10/F10-1</f>
        <v>-0.1132444381814659</v>
      </c>
      <c r="H11" s="227"/>
      <c r="I11" s="245"/>
      <c r="J11" s="227"/>
      <c r="K11" s="227"/>
      <c r="L11" s="227"/>
    </row>
    <row r="12" spans="1:16">
      <c r="A12" s="38"/>
      <c r="B12" s="17"/>
      <c r="C12" s="18"/>
      <c r="D12" s="18"/>
      <c r="E12" s="18"/>
      <c r="F12" s="18"/>
      <c r="G12" s="18"/>
      <c r="H12" s="149"/>
      <c r="I12" s="244"/>
      <c r="J12" s="149"/>
      <c r="K12" s="149"/>
      <c r="L12" s="149"/>
    </row>
    <row r="13" spans="1:16" s="1" customFormat="1">
      <c r="A13" s="47" t="s">
        <v>110</v>
      </c>
      <c r="B13" s="49">
        <f t="shared" ref="B13:G13" si="1">B10+B7+B4</f>
        <v>11221.820000000002</v>
      </c>
      <c r="C13" s="49">
        <f t="shared" si="1"/>
        <v>10755.06</v>
      </c>
      <c r="D13" s="49">
        <f t="shared" si="1"/>
        <v>13950.12</v>
      </c>
      <c r="E13" s="49">
        <f t="shared" si="1"/>
        <v>17672.530000000002</v>
      </c>
      <c r="F13" s="49">
        <f t="shared" si="1"/>
        <v>19893.09</v>
      </c>
      <c r="G13" s="49">
        <f t="shared" si="1"/>
        <v>20827.25</v>
      </c>
      <c r="H13" s="246">
        <f>G13*1.12</f>
        <v>23326.52</v>
      </c>
      <c r="I13" s="246">
        <f>H13*1.12</f>
        <v>26125.702400000002</v>
      </c>
      <c r="J13" s="151">
        <f>I13*1.12</f>
        <v>29260.786688000004</v>
      </c>
      <c r="K13" s="151">
        <f>J13*1.12</f>
        <v>32772.081090560008</v>
      </c>
      <c r="L13" s="151">
        <f>K13*1.12</f>
        <v>36704.730821427213</v>
      </c>
    </row>
    <row r="14" spans="1:16" s="10" customFormat="1">
      <c r="A14" s="51"/>
      <c r="B14" s="48"/>
      <c r="C14" s="48">
        <f>C13/B13-1</f>
        <v>-4.159396604115928E-2</v>
      </c>
      <c r="D14" s="48">
        <f>D13/C13-1</f>
        <v>0.2970750511852096</v>
      </c>
      <c r="E14" s="48">
        <f>E13/D13-1</f>
        <v>0.26683713115012631</v>
      </c>
      <c r="F14" s="48">
        <f>F13/E13-1</f>
        <v>0.12565037377217614</v>
      </c>
      <c r="G14" s="48">
        <f>G13/F13-1</f>
        <v>4.6959019438407967E-2</v>
      </c>
      <c r="H14" s="247"/>
      <c r="I14" s="248"/>
      <c r="J14" s="247"/>
      <c r="K14" s="247"/>
      <c r="L14" s="247"/>
    </row>
    <row r="15" spans="1:16" s="13" customFormat="1">
      <c r="A15" s="52"/>
      <c r="B15" s="22"/>
      <c r="C15" s="22"/>
      <c r="D15" s="22"/>
      <c r="E15" s="22"/>
      <c r="F15" s="22"/>
      <c r="G15" s="22"/>
      <c r="H15" s="228"/>
      <c r="I15" s="229"/>
      <c r="J15" s="228"/>
      <c r="K15" s="228"/>
      <c r="L15" s="228"/>
    </row>
    <row r="16" spans="1:16" s="1" customFormat="1">
      <c r="A16" s="42" t="s">
        <v>112</v>
      </c>
      <c r="B16" s="44">
        <v>1354.53</v>
      </c>
      <c r="C16" s="40">
        <v>1622.83</v>
      </c>
      <c r="D16" s="40">
        <v>1155.3</v>
      </c>
      <c r="E16" s="44">
        <v>572.1</v>
      </c>
      <c r="F16" s="44">
        <v>1401.7</v>
      </c>
      <c r="G16" s="44">
        <v>2393.38</v>
      </c>
      <c r="H16" s="228">
        <f>G16*1.25</f>
        <v>2991.7250000000004</v>
      </c>
      <c r="I16" s="229">
        <f>H16*1.15</f>
        <v>3440.4837500000003</v>
      </c>
      <c r="J16" s="228">
        <f>I16*1.15</f>
        <v>3956.5563124999999</v>
      </c>
      <c r="K16" s="228">
        <f>J16*1.15</f>
        <v>4550.0397593749994</v>
      </c>
      <c r="L16" s="228">
        <f>K16*1.15</f>
        <v>5232.5457232812487</v>
      </c>
    </row>
    <row r="17" spans="1:12" s="7" customFormat="1">
      <c r="A17" s="51"/>
      <c r="B17" s="48"/>
      <c r="C17" s="48">
        <f>C16/B16-1</f>
        <v>0.19807608543184707</v>
      </c>
      <c r="D17" s="48">
        <f>D16/C16-1</f>
        <v>-0.2880954875125552</v>
      </c>
      <c r="E17" s="48">
        <f>E16/D16-1</f>
        <v>-0.50480394702674625</v>
      </c>
      <c r="F17" s="48">
        <f>F16/E16-1</f>
        <v>1.4500961370389791</v>
      </c>
      <c r="G17" s="48">
        <f>G16/F16-1</f>
        <v>0.70748376970821147</v>
      </c>
      <c r="H17" s="227"/>
      <c r="I17" s="245"/>
      <c r="J17" s="227"/>
      <c r="K17" s="227"/>
      <c r="L17" s="227"/>
    </row>
    <row r="18" spans="1:12" s="8" customFormat="1">
      <c r="A18" s="52"/>
      <c r="B18" s="22"/>
      <c r="C18" s="22"/>
      <c r="D18" s="22"/>
      <c r="E18" s="22"/>
      <c r="F18" s="22"/>
      <c r="G18" s="22"/>
      <c r="H18" s="149"/>
      <c r="I18" s="244"/>
      <c r="J18" s="149"/>
      <c r="K18" s="149"/>
      <c r="L18" s="149"/>
    </row>
    <row r="19" spans="1:12" s="1" customFormat="1">
      <c r="A19" s="42" t="s">
        <v>111</v>
      </c>
      <c r="B19" s="44">
        <v>1198.5</v>
      </c>
      <c r="C19" s="44">
        <v>683.02</v>
      </c>
      <c r="D19" s="44">
        <v>791.29</v>
      </c>
      <c r="E19" s="44">
        <v>902.67</v>
      </c>
      <c r="F19" s="44">
        <v>1351.98</v>
      </c>
      <c r="G19" s="44">
        <v>1024.69</v>
      </c>
      <c r="H19" s="228">
        <f>G19*1.05</f>
        <v>1075.9245000000001</v>
      </c>
      <c r="I19" s="229">
        <f>H19*1.05</f>
        <v>1129.7207250000001</v>
      </c>
      <c r="J19" s="228">
        <f>I19*1.05</f>
        <v>1186.2067612500002</v>
      </c>
      <c r="K19" s="228">
        <f>J19*1.05</f>
        <v>1245.5170993125002</v>
      </c>
      <c r="L19" s="228">
        <f>K19*1.05</f>
        <v>1307.7929542781253</v>
      </c>
    </row>
    <row r="20" spans="1:12" s="14" customFormat="1">
      <c r="A20" s="53"/>
      <c r="B20" s="50"/>
      <c r="C20" s="48">
        <f>C19/B19-1</f>
        <v>-0.43010429703796416</v>
      </c>
      <c r="D20" s="48">
        <f>D19/C19-1</f>
        <v>0.15851658809405289</v>
      </c>
      <c r="E20" s="48">
        <f>E19/D19-1</f>
        <v>0.14075749725132369</v>
      </c>
      <c r="F20" s="48">
        <f>F19/E19-1</f>
        <v>0.49775665525607371</v>
      </c>
      <c r="G20" s="48">
        <f>G19/F19-1</f>
        <v>-0.24208198346129373</v>
      </c>
      <c r="H20" s="249"/>
      <c r="I20" s="250"/>
      <c r="J20" s="249"/>
      <c r="K20" s="249"/>
      <c r="L20" s="249"/>
    </row>
    <row r="21" spans="1:12" s="12" customFormat="1">
      <c r="A21" s="54"/>
      <c r="B21" s="45"/>
      <c r="C21" s="22"/>
      <c r="D21" s="22"/>
      <c r="E21" s="22"/>
      <c r="F21" s="22"/>
      <c r="G21" s="22"/>
      <c r="H21" s="170"/>
      <c r="I21" s="251"/>
      <c r="J21" s="170"/>
      <c r="K21" s="170"/>
      <c r="L21" s="170"/>
    </row>
    <row r="22" spans="1:12">
      <c r="A22" s="43" t="s">
        <v>54</v>
      </c>
      <c r="B22" s="41">
        <f t="shared" ref="B22:G22" si="2">B19+B16+B13</f>
        <v>13774.850000000002</v>
      </c>
      <c r="C22" s="41">
        <f t="shared" si="2"/>
        <v>13060.91</v>
      </c>
      <c r="D22" s="41">
        <f t="shared" si="2"/>
        <v>15896.710000000001</v>
      </c>
      <c r="E22" s="41">
        <f t="shared" si="2"/>
        <v>19147.300000000003</v>
      </c>
      <c r="F22" s="41">
        <f t="shared" si="2"/>
        <v>22646.77</v>
      </c>
      <c r="G22" s="41">
        <f t="shared" si="2"/>
        <v>24245.32</v>
      </c>
      <c r="H22" s="230">
        <f>G22*1.05</f>
        <v>25457.585999999999</v>
      </c>
      <c r="I22" s="252">
        <f>I19+I16+I13</f>
        <v>30695.906875000001</v>
      </c>
      <c r="J22" s="230">
        <f>J19+J16+J13</f>
        <v>34403.549761750008</v>
      </c>
      <c r="K22" s="230">
        <f>K19+K16+K13</f>
        <v>38567.63794924751</v>
      </c>
      <c r="L22" s="230">
        <f>L19+L16+L13</f>
        <v>43245.069498986588</v>
      </c>
    </row>
    <row r="23" spans="1:12" s="6" customFormat="1">
      <c r="A23" s="6" t="s">
        <v>116</v>
      </c>
      <c r="C23" s="7">
        <f>C22/B22-1</f>
        <v>-5.1829239519849746E-2</v>
      </c>
      <c r="D23" s="7">
        <f>D22/C22-1</f>
        <v>0.21712116537056003</v>
      </c>
      <c r="E23" s="7">
        <f>E22/D22-1</f>
        <v>0.20448193368313339</v>
      </c>
      <c r="F23" s="7">
        <f>F22/E22-1</f>
        <v>0.18276571631509397</v>
      </c>
      <c r="G23" s="7">
        <f>G22/F22-1</f>
        <v>7.0586224878868009E-2</v>
      </c>
      <c r="H23" s="127" t="s">
        <v>117</v>
      </c>
      <c r="I23" s="127"/>
      <c r="J23" s="127"/>
      <c r="K23" s="127"/>
      <c r="L23" s="12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ABC6-CFA2-4969-9784-BD16C22EF9B3}">
  <dimension ref="A1:S62"/>
  <sheetViews>
    <sheetView topLeftCell="B1" workbookViewId="0">
      <selection activeCell="M7" sqref="M7"/>
    </sheetView>
  </sheetViews>
  <sheetFormatPr defaultRowHeight="15"/>
  <cols>
    <col min="2" max="2" width="9.7109375" bestFit="1" customWidth="1"/>
    <col min="4" max="4" width="2.5703125" customWidth="1"/>
    <col min="5" max="5" width="18.28515625" style="24" bestFit="1" customWidth="1"/>
    <col min="6" max="6" width="9.7109375" bestFit="1" customWidth="1"/>
    <col min="9" max="9" width="10.7109375" bestFit="1" customWidth="1"/>
    <col min="12" max="12" width="18.7109375" bestFit="1" customWidth="1"/>
    <col min="13" max="13" width="7.140625" bestFit="1" customWidth="1"/>
  </cols>
  <sheetData>
    <row r="1" spans="1:19">
      <c r="A1" t="s">
        <v>485</v>
      </c>
      <c r="B1" t="s">
        <v>486</v>
      </c>
      <c r="E1" t="s">
        <v>485</v>
      </c>
      <c r="F1" s="24" t="s">
        <v>486</v>
      </c>
    </row>
    <row r="2" spans="1:19">
      <c r="E2"/>
      <c r="F2" s="24"/>
      <c r="M2" s="8"/>
      <c r="O2">
        <v>2021</v>
      </c>
      <c r="P2">
        <f>O2+1</f>
        <v>2022</v>
      </c>
      <c r="Q2">
        <f t="shared" ref="Q2:S2" si="0">P2+1</f>
        <v>2023</v>
      </c>
      <c r="R2">
        <f t="shared" si="0"/>
        <v>2024</v>
      </c>
      <c r="S2">
        <f t="shared" si="0"/>
        <v>2025</v>
      </c>
    </row>
    <row r="3" spans="1:19">
      <c r="A3" s="59">
        <v>46082</v>
      </c>
      <c r="B3" s="2">
        <v>24865.7</v>
      </c>
      <c r="C3" s="8">
        <f>B3/B4-1</f>
        <v>-1.2429181072059148E-2</v>
      </c>
      <c r="E3" s="60">
        <v>46112</v>
      </c>
      <c r="F3" s="24">
        <v>295.14999389648438</v>
      </c>
      <c r="G3" s="8">
        <f t="shared" ref="G3:G52" si="1">F3/F4-1</f>
        <v>-2.7832714219874322E-2</v>
      </c>
      <c r="I3" t="s">
        <v>499</v>
      </c>
      <c r="J3">
        <f>COVAR(C3:C53,G3:G53)</f>
        <v>1.4655503564935421E-3</v>
      </c>
      <c r="L3" t="s">
        <v>488</v>
      </c>
      <c r="M3" s="8">
        <f>AVERAGE(O4:S4)</f>
        <v>0.10917608333113715</v>
      </c>
      <c r="O3" s="2">
        <f>B54</f>
        <v>17354.05</v>
      </c>
      <c r="P3" s="2">
        <f>B42</f>
        <v>18105.3</v>
      </c>
      <c r="Q3" s="2">
        <f>B30</f>
        <v>21731.4</v>
      </c>
      <c r="R3" s="2">
        <f>B18</f>
        <v>23644.799999999999</v>
      </c>
      <c r="S3" s="2">
        <f>B6</f>
        <v>26129.599999999999</v>
      </c>
    </row>
    <row r="4" spans="1:19">
      <c r="A4" s="59">
        <v>46054</v>
      </c>
      <c r="B4" s="2">
        <v>25178.65</v>
      </c>
      <c r="C4" s="8">
        <f t="shared" ref="C4:C53" si="2">B4/B5-1</f>
        <v>-5.6080708828565307E-3</v>
      </c>
      <c r="E4" s="60">
        <v>46081</v>
      </c>
      <c r="F4" s="24">
        <v>303.60000610351563</v>
      </c>
      <c r="G4" s="8">
        <f t="shared" si="1"/>
        <v>-2.8905687731227925E-2</v>
      </c>
      <c r="I4" t="s">
        <v>500</v>
      </c>
      <c r="J4">
        <f>VAR(C3:C53)</f>
        <v>1.2382052301129626E-3</v>
      </c>
      <c r="L4" t="s">
        <v>487</v>
      </c>
      <c r="M4" s="8">
        <v>1.2699999999999999E-2</v>
      </c>
      <c r="P4" s="8">
        <f>P3/O3-1</f>
        <v>4.3289606748856846E-2</v>
      </c>
      <c r="Q4" s="8">
        <f t="shared" ref="Q4:S4" si="3">Q3/P3-1</f>
        <v>0.20027837152656969</v>
      </c>
      <c r="R4" s="8">
        <f t="shared" si="3"/>
        <v>8.8047709765592508E-2</v>
      </c>
      <c r="S4" s="8">
        <f t="shared" si="3"/>
        <v>0.10508864528352957</v>
      </c>
    </row>
    <row r="5" spans="1:19">
      <c r="A5" s="59">
        <v>46023</v>
      </c>
      <c r="B5" s="2">
        <v>25320.65</v>
      </c>
      <c r="C5" s="8">
        <f t="shared" si="2"/>
        <v>-3.0959142122343852E-2</v>
      </c>
      <c r="E5" s="60">
        <v>46053</v>
      </c>
      <c r="F5" s="24">
        <v>312.63699340820313</v>
      </c>
      <c r="G5" s="8">
        <f t="shared" si="1"/>
        <v>-7.1134011084204363E-2</v>
      </c>
      <c r="L5" t="s">
        <v>96</v>
      </c>
      <c r="M5" s="8">
        <f>M3+M4</f>
        <v>0.12187608333113716</v>
      </c>
    </row>
    <row r="6" spans="1:19">
      <c r="A6" s="59">
        <v>45992</v>
      </c>
      <c r="B6" s="2">
        <v>26129.599999999999</v>
      </c>
      <c r="C6" s="8">
        <f t="shared" si="2"/>
        <v>-2.7993031318993555E-3</v>
      </c>
      <c r="E6" s="60">
        <v>46022</v>
      </c>
      <c r="F6" s="24">
        <v>336.5792236328125</v>
      </c>
      <c r="G6" s="8">
        <f t="shared" si="1"/>
        <v>-4.3527331121949397E-2</v>
      </c>
    </row>
    <row r="7" spans="1:19">
      <c r="A7" s="59">
        <v>45962</v>
      </c>
      <c r="B7" s="2">
        <v>26202.95</v>
      </c>
      <c r="C7" s="8">
        <f t="shared" si="2"/>
        <v>1.8694041310779452E-2</v>
      </c>
      <c r="E7" s="60">
        <v>45991</v>
      </c>
      <c r="F7" s="24">
        <v>351.89633178710938</v>
      </c>
      <c r="G7" s="8">
        <f t="shared" si="1"/>
        <v>-4.4034343979502677E-2</v>
      </c>
      <c r="L7" t="s">
        <v>501</v>
      </c>
      <c r="M7" s="24">
        <f>J3/J4</f>
        <v>1.1836085980349467</v>
      </c>
    </row>
    <row r="8" spans="1:19">
      <c r="A8" s="59">
        <v>45931</v>
      </c>
      <c r="B8" s="2">
        <v>25722.1</v>
      </c>
      <c r="C8" s="8">
        <f t="shared" si="2"/>
        <v>4.5142232569856722E-2</v>
      </c>
      <c r="E8" s="60">
        <v>45961</v>
      </c>
      <c r="F8" s="24">
        <v>368.10562133789063</v>
      </c>
      <c r="G8" s="8">
        <f t="shared" si="1"/>
        <v>-5.2244727900047083E-3</v>
      </c>
      <c r="L8" t="s">
        <v>489</v>
      </c>
      <c r="M8" s="24">
        <f>M7*0.67+0.33*1</f>
        <v>1.1230177606834144</v>
      </c>
    </row>
    <row r="9" spans="1:19">
      <c r="A9" s="59">
        <v>45901</v>
      </c>
      <c r="B9" s="2">
        <v>24611.1</v>
      </c>
      <c r="C9" s="8">
        <f t="shared" si="2"/>
        <v>7.5429291947182175E-3</v>
      </c>
      <c r="E9" s="60">
        <v>45930</v>
      </c>
      <c r="F9" s="24">
        <v>370.03887939453119</v>
      </c>
      <c r="G9" s="8">
        <f t="shared" si="1"/>
        <v>-9.0299731196005761E-2</v>
      </c>
    </row>
    <row r="10" spans="1:19">
      <c r="A10" s="59">
        <v>45870</v>
      </c>
      <c r="B10" s="2">
        <v>24426.85</v>
      </c>
      <c r="C10" s="8">
        <f t="shared" si="2"/>
        <v>-1.3787757359694952E-2</v>
      </c>
      <c r="E10" s="60">
        <v>45900</v>
      </c>
      <c r="F10" s="24">
        <v>406.77011108398438</v>
      </c>
      <c r="G10" s="8">
        <f t="shared" si="1"/>
        <v>-0.10473486864751858</v>
      </c>
    </row>
    <row r="11" spans="1:19">
      <c r="A11" s="59">
        <v>45839</v>
      </c>
      <c r="B11" s="2">
        <v>24768.35</v>
      </c>
      <c r="C11" s="8">
        <f t="shared" si="2"/>
        <v>-2.9341166004691055E-2</v>
      </c>
      <c r="E11" s="60">
        <v>45869</v>
      </c>
      <c r="F11" s="24">
        <v>454.35714721679688</v>
      </c>
      <c r="G11" s="8">
        <f t="shared" si="1"/>
        <v>-8.4315740989658328E-2</v>
      </c>
    </row>
    <row r="12" spans="1:19">
      <c r="A12" s="59">
        <v>45809</v>
      </c>
      <c r="B12" s="2">
        <v>25517.05</v>
      </c>
      <c r="C12" s="8">
        <f t="shared" si="2"/>
        <v>3.0962760649193788E-2</v>
      </c>
      <c r="E12" s="60">
        <v>45838</v>
      </c>
      <c r="F12" s="24">
        <v>496.19412231445313</v>
      </c>
      <c r="G12" s="8">
        <f t="shared" si="1"/>
        <v>1.7173084823620677E-2</v>
      </c>
    </row>
    <row r="13" spans="1:19">
      <c r="A13" s="59">
        <v>45778</v>
      </c>
      <c r="B13" s="2">
        <v>24750.7</v>
      </c>
      <c r="C13" s="8">
        <f t="shared" si="2"/>
        <v>1.7115828751304685E-2</v>
      </c>
      <c r="E13" s="60">
        <v>45808</v>
      </c>
      <c r="F13" s="24">
        <v>487.81680297851563</v>
      </c>
      <c r="G13" s="8">
        <f t="shared" si="1"/>
        <v>0.12887684642926112</v>
      </c>
    </row>
    <row r="14" spans="1:19">
      <c r="A14" s="59">
        <v>45748</v>
      </c>
      <c r="B14" s="2">
        <v>24334.2</v>
      </c>
      <c r="C14" s="8">
        <f t="shared" si="2"/>
        <v>3.4645940470293679E-2</v>
      </c>
      <c r="E14" s="60">
        <v>45777</v>
      </c>
      <c r="F14" s="24">
        <v>432.12579345703119</v>
      </c>
      <c r="G14" s="8">
        <f t="shared" si="1"/>
        <v>-4.31249655360324E-2</v>
      </c>
    </row>
    <row r="15" spans="1:19">
      <c r="A15" s="59">
        <v>45717</v>
      </c>
      <c r="B15" s="2">
        <v>23519.35</v>
      </c>
      <c r="C15" s="8">
        <f t="shared" si="2"/>
        <v>6.3035882972424462E-2</v>
      </c>
      <c r="E15" s="60">
        <v>45747</v>
      </c>
      <c r="F15" s="24">
        <v>451.60107421875</v>
      </c>
      <c r="G15" s="8">
        <f t="shared" si="1"/>
        <v>7.8628353514909044E-3</v>
      </c>
    </row>
    <row r="16" spans="1:19">
      <c r="A16" s="59">
        <v>45689</v>
      </c>
      <c r="B16" s="2">
        <v>22124.7</v>
      </c>
      <c r="C16" s="8">
        <f t="shared" si="2"/>
        <v>-5.8859811811948104E-2</v>
      </c>
      <c r="E16" s="60">
        <v>45716</v>
      </c>
      <c r="F16" s="24">
        <v>448.07791137695313</v>
      </c>
      <c r="G16" s="8">
        <f t="shared" si="1"/>
        <v>6.431815643079708E-2</v>
      </c>
    </row>
    <row r="17" spans="1:7">
      <c r="A17" s="59">
        <v>45658</v>
      </c>
      <c r="B17" s="2">
        <v>23508.400000000001</v>
      </c>
      <c r="C17" s="8">
        <f t="shared" si="2"/>
        <v>-5.7687102449586192E-3</v>
      </c>
      <c r="E17" s="60">
        <v>45688</v>
      </c>
      <c r="F17" s="24">
        <v>420.99996948242188</v>
      </c>
      <c r="G17" s="8">
        <f t="shared" si="1"/>
        <v>-0.11642376528672338</v>
      </c>
    </row>
    <row r="18" spans="1:7">
      <c r="A18" s="59">
        <v>45627</v>
      </c>
      <c r="B18" s="2">
        <v>23644.799999999999</v>
      </c>
      <c r="C18" s="8">
        <f t="shared" si="2"/>
        <v>-2.0152417419844082E-2</v>
      </c>
      <c r="E18" s="60">
        <v>45657</v>
      </c>
      <c r="F18" s="24">
        <v>476.47271728515619</v>
      </c>
      <c r="G18" s="8">
        <f t="shared" si="1"/>
        <v>-1.0989986920513228E-2</v>
      </c>
    </row>
    <row r="19" spans="1:7">
      <c r="A19" s="59">
        <v>45597</v>
      </c>
      <c r="B19" s="2">
        <v>24131.1</v>
      </c>
      <c r="C19" s="8">
        <f t="shared" si="2"/>
        <v>-3.0675036717089377E-3</v>
      </c>
      <c r="E19" s="60">
        <v>45626</v>
      </c>
      <c r="F19" s="24">
        <v>481.767333984375</v>
      </c>
      <c r="G19" s="8">
        <f t="shared" si="1"/>
        <v>-7.6708316469880855E-2</v>
      </c>
    </row>
    <row r="20" spans="1:7">
      <c r="A20" s="59">
        <v>45566</v>
      </c>
      <c r="B20" s="2">
        <v>24205.35</v>
      </c>
      <c r="C20" s="8">
        <f t="shared" si="2"/>
        <v>-6.2202523357425266E-2</v>
      </c>
      <c r="E20" s="60">
        <v>45596</v>
      </c>
      <c r="F20" s="24">
        <v>521.793212890625</v>
      </c>
      <c r="G20" s="8">
        <f t="shared" si="1"/>
        <v>-0.10213973649157237</v>
      </c>
    </row>
    <row r="21" spans="1:7">
      <c r="A21" s="59">
        <v>45536</v>
      </c>
      <c r="B21" s="2">
        <v>25810.85</v>
      </c>
      <c r="C21" s="8">
        <f t="shared" si="2"/>
        <v>2.2783019428670892E-2</v>
      </c>
      <c r="E21" s="60">
        <v>45565</v>
      </c>
      <c r="F21" s="24">
        <v>581.15191650390625</v>
      </c>
      <c r="G21" s="8">
        <f t="shared" si="1"/>
        <v>8.8527026908070461E-2</v>
      </c>
    </row>
    <row r="22" spans="1:7">
      <c r="A22" s="59">
        <v>45505</v>
      </c>
      <c r="B22" s="2">
        <v>25235.9</v>
      </c>
      <c r="C22" s="8">
        <f t="shared" si="2"/>
        <v>1.141229963348378E-2</v>
      </c>
      <c r="E22" s="60">
        <v>45535</v>
      </c>
      <c r="F22" s="24">
        <v>533.88836669921875</v>
      </c>
      <c r="G22" s="8">
        <f t="shared" si="1"/>
        <v>-4.5340093813337923E-2</v>
      </c>
    </row>
    <row r="23" spans="1:7">
      <c r="A23" s="59">
        <v>45474</v>
      </c>
      <c r="B23" s="2">
        <v>24951.15</v>
      </c>
      <c r="C23" s="8">
        <f t="shared" si="2"/>
        <v>3.917228224200997E-2</v>
      </c>
      <c r="E23" s="60">
        <v>45504</v>
      </c>
      <c r="F23" s="24">
        <v>559.24456787109375</v>
      </c>
      <c r="G23" s="8">
        <f t="shared" si="1"/>
        <v>0.16634590868409105</v>
      </c>
    </row>
    <row r="24" spans="1:7">
      <c r="A24" s="59">
        <v>45444</v>
      </c>
      <c r="B24" s="2">
        <v>24010.6</v>
      </c>
      <c r="C24" s="8">
        <f t="shared" si="2"/>
        <v>6.5683711558007341E-2</v>
      </c>
      <c r="E24" s="60">
        <v>45473</v>
      </c>
      <c r="F24" s="24">
        <v>479.48431396484381</v>
      </c>
      <c r="G24" s="8">
        <f t="shared" si="1"/>
        <v>0.11536714653135172</v>
      </c>
    </row>
    <row r="25" spans="1:7">
      <c r="A25" s="59">
        <v>45413</v>
      </c>
      <c r="B25" s="2">
        <v>22530.7</v>
      </c>
      <c r="C25" s="8">
        <f t="shared" si="2"/>
        <v>-3.2802694996869608E-3</v>
      </c>
      <c r="E25" s="60">
        <v>45443</v>
      </c>
      <c r="F25" s="24">
        <v>429.88922119140619</v>
      </c>
      <c r="G25" s="8">
        <f t="shared" si="1"/>
        <v>7.2341145316715094E-2</v>
      </c>
    </row>
    <row r="26" spans="1:7">
      <c r="A26" s="59">
        <v>45383</v>
      </c>
      <c r="B26" s="2">
        <v>22604.85</v>
      </c>
      <c r="C26" s="8">
        <f t="shared" si="2"/>
        <v>1.2449108474530624E-2</v>
      </c>
      <c r="E26" s="60">
        <v>45412</v>
      </c>
      <c r="F26" s="24">
        <v>400.88848876953119</v>
      </c>
      <c r="G26" s="8">
        <f t="shared" si="1"/>
        <v>6.4379828021203567E-2</v>
      </c>
    </row>
    <row r="27" spans="1:7">
      <c r="A27" s="59">
        <v>45352</v>
      </c>
      <c r="B27" s="2">
        <v>22326.9</v>
      </c>
      <c r="C27" s="8">
        <f t="shared" si="2"/>
        <v>1.5653147005840973E-2</v>
      </c>
      <c r="E27" s="60">
        <v>45382</v>
      </c>
      <c r="F27" s="24">
        <v>376.64044189453119</v>
      </c>
      <c r="G27" s="8">
        <f t="shared" si="1"/>
        <v>1.6920503608977899E-2</v>
      </c>
    </row>
    <row r="28" spans="1:7">
      <c r="A28" s="59">
        <v>45323</v>
      </c>
      <c r="B28" s="2">
        <v>21982.799999999999</v>
      </c>
      <c r="C28" s="8">
        <f t="shared" si="2"/>
        <v>1.1833910990209695E-2</v>
      </c>
      <c r="E28" s="60">
        <v>45351</v>
      </c>
      <c r="F28" s="24">
        <v>370.37353515625</v>
      </c>
      <c r="G28" s="8">
        <f t="shared" si="1"/>
        <v>4.4255836707101093E-3</v>
      </c>
    </row>
    <row r="29" spans="1:7">
      <c r="A29" s="59">
        <v>45292</v>
      </c>
      <c r="B29" s="2">
        <v>21725.7</v>
      </c>
      <c r="C29" s="8">
        <f t="shared" si="2"/>
        <v>-2.6229327148741266E-4</v>
      </c>
      <c r="E29" s="60">
        <v>45322</v>
      </c>
      <c r="F29" s="24">
        <v>368.74163818359381</v>
      </c>
      <c r="G29" s="8">
        <f t="shared" si="1"/>
        <v>6.2729422350158437E-3</v>
      </c>
    </row>
    <row r="30" spans="1:7">
      <c r="A30" s="59">
        <v>45261</v>
      </c>
      <c r="B30" s="2">
        <v>21731.4</v>
      </c>
      <c r="C30" s="8">
        <f t="shared" si="2"/>
        <v>7.9384001013254268E-2</v>
      </c>
      <c r="E30" s="60">
        <v>45291</v>
      </c>
      <c r="F30" s="24">
        <v>366.44296264648438</v>
      </c>
      <c r="G30" s="8">
        <f t="shared" si="1"/>
        <v>-5.519212227011272E-2</v>
      </c>
    </row>
    <row r="31" spans="1:7">
      <c r="A31" s="59">
        <v>45231</v>
      </c>
      <c r="B31" s="2">
        <v>20133.150000000001</v>
      </c>
      <c r="C31" s="8">
        <f t="shared" si="2"/>
        <v>5.5218662865049728E-2</v>
      </c>
      <c r="E31" s="60">
        <v>45260</v>
      </c>
      <c r="F31" s="24">
        <v>387.84918212890619</v>
      </c>
      <c r="G31" s="8">
        <f t="shared" si="1"/>
        <v>7.986670840313459E-2</v>
      </c>
    </row>
    <row r="32" spans="1:7">
      <c r="A32" s="59">
        <v>45200</v>
      </c>
      <c r="B32" s="2">
        <v>19079.599999999999</v>
      </c>
      <c r="C32" s="8">
        <f t="shared" si="2"/>
        <v>-2.844950937708457E-2</v>
      </c>
      <c r="E32" s="60">
        <v>45230</v>
      </c>
      <c r="F32" s="24">
        <v>359.1639404296875</v>
      </c>
      <c r="G32" s="8">
        <f t="shared" si="1"/>
        <v>7.1122519104916071E-2</v>
      </c>
    </row>
    <row r="33" spans="1:7">
      <c r="A33" s="59">
        <v>45170</v>
      </c>
      <c r="B33" s="2">
        <v>19638.3</v>
      </c>
      <c r="C33" s="8">
        <f t="shared" si="2"/>
        <v>1.9970083827608009E-2</v>
      </c>
      <c r="E33" s="60">
        <v>45199</v>
      </c>
      <c r="F33" s="24">
        <v>335.31546020507813</v>
      </c>
      <c r="G33" s="8">
        <f t="shared" si="1"/>
        <v>-3.0864957596659082E-2</v>
      </c>
    </row>
    <row r="34" spans="1:7">
      <c r="A34" s="59">
        <v>45139</v>
      </c>
      <c r="B34" s="2">
        <v>19253.8</v>
      </c>
      <c r="C34" s="8">
        <f t="shared" si="2"/>
        <v>-2.5311585618969512E-2</v>
      </c>
      <c r="E34" s="60">
        <v>45169</v>
      </c>
      <c r="F34" s="24">
        <v>345.99456787109381</v>
      </c>
      <c r="G34" s="8">
        <f t="shared" si="1"/>
        <v>-8.3022067709594527E-2</v>
      </c>
    </row>
    <row r="35" spans="1:7">
      <c r="A35" s="59">
        <v>45108</v>
      </c>
      <c r="B35" s="2">
        <v>19753.8</v>
      </c>
      <c r="C35" s="8">
        <f t="shared" si="2"/>
        <v>2.9430847280089489E-2</v>
      </c>
      <c r="E35" s="60">
        <v>45138</v>
      </c>
      <c r="F35" s="24">
        <v>377.32049560546881</v>
      </c>
      <c r="G35" s="8">
        <f t="shared" si="1"/>
        <v>8.5065770720796241E-2</v>
      </c>
    </row>
    <row r="36" spans="1:7">
      <c r="A36" s="59">
        <v>45078</v>
      </c>
      <c r="B36" s="2">
        <v>19189.05</v>
      </c>
      <c r="C36" s="8">
        <f t="shared" si="2"/>
        <v>3.5320808874309328E-2</v>
      </c>
      <c r="E36" s="60">
        <v>45107</v>
      </c>
      <c r="F36" s="24">
        <v>347.73974609375</v>
      </c>
      <c r="G36" s="8">
        <f t="shared" si="1"/>
        <v>0.13041479495764796</v>
      </c>
    </row>
    <row r="37" spans="1:7">
      <c r="A37" s="59">
        <v>45047</v>
      </c>
      <c r="B37" s="2">
        <v>18534.400000000001</v>
      </c>
      <c r="C37" s="8">
        <f t="shared" si="2"/>
        <v>2.5983946858566309E-2</v>
      </c>
      <c r="E37" s="60">
        <v>45077</v>
      </c>
      <c r="F37" s="24">
        <v>307.62136840820313</v>
      </c>
      <c r="G37" s="8">
        <f t="shared" si="1"/>
        <v>0.1152988711403633</v>
      </c>
    </row>
    <row r="38" spans="1:7">
      <c r="A38" s="59">
        <v>45017</v>
      </c>
      <c r="B38" s="2">
        <v>18065</v>
      </c>
      <c r="C38" s="8">
        <f t="shared" si="2"/>
        <v>4.0625585045867663E-2</v>
      </c>
      <c r="E38" s="60">
        <v>45046</v>
      </c>
      <c r="F38" s="24">
        <v>275.81967163085938</v>
      </c>
      <c r="G38" s="8">
        <f t="shared" si="1"/>
        <v>5.3800243778620249E-2</v>
      </c>
    </row>
    <row r="39" spans="1:7">
      <c r="A39" s="59">
        <v>44986</v>
      </c>
      <c r="B39" s="2">
        <v>17359.75</v>
      </c>
      <c r="C39" s="8">
        <f t="shared" si="2"/>
        <v>3.2246972512055549E-3</v>
      </c>
      <c r="E39" s="60">
        <v>45016</v>
      </c>
      <c r="F39" s="24">
        <v>261.73809814453119</v>
      </c>
      <c r="G39" s="8">
        <f t="shared" si="1"/>
        <v>-3.0965460359067887E-2</v>
      </c>
    </row>
    <row r="40" spans="1:7">
      <c r="A40" s="59">
        <v>44958</v>
      </c>
      <c r="B40" s="2">
        <v>17303.95</v>
      </c>
      <c r="C40" s="8">
        <f t="shared" si="2"/>
        <v>-2.0280656658447582E-2</v>
      </c>
      <c r="E40" s="60">
        <v>44985</v>
      </c>
      <c r="F40" s="24">
        <v>270.1019287109375</v>
      </c>
      <c r="G40" s="8">
        <f t="shared" si="1"/>
        <v>-7.1474934061575124E-2</v>
      </c>
    </row>
    <row r="41" spans="1:7">
      <c r="A41" s="59">
        <v>44927</v>
      </c>
      <c r="B41" s="2">
        <v>17662.150000000001</v>
      </c>
      <c r="C41" s="8">
        <f t="shared" si="2"/>
        <v>-2.4476258333195111E-2</v>
      </c>
      <c r="E41" s="60">
        <v>44957</v>
      </c>
      <c r="F41" s="24">
        <v>290.89352416992188</v>
      </c>
      <c r="G41" s="8">
        <f t="shared" si="1"/>
        <v>-1.5197797315866124E-2</v>
      </c>
    </row>
    <row r="42" spans="1:7">
      <c r="A42" s="59">
        <v>44896</v>
      </c>
      <c r="B42" s="2">
        <v>18105.3</v>
      </c>
      <c r="C42" s="8">
        <f t="shared" si="2"/>
        <v>-3.4813829574562805E-2</v>
      </c>
      <c r="E42" s="60">
        <v>44926</v>
      </c>
      <c r="F42" s="24">
        <v>295.3826904296875</v>
      </c>
      <c r="G42" s="8">
        <f t="shared" si="1"/>
        <v>-5.7448591601826027E-2</v>
      </c>
    </row>
    <row r="43" spans="1:7">
      <c r="A43" s="59">
        <v>44866</v>
      </c>
      <c r="B43" s="2">
        <v>18758.349999999999</v>
      </c>
      <c r="C43" s="8">
        <f t="shared" si="2"/>
        <v>4.1424701035964295E-2</v>
      </c>
      <c r="E43" s="60">
        <v>44895</v>
      </c>
      <c r="F43" s="24">
        <v>313.38629150390619</v>
      </c>
      <c r="G43" s="8">
        <f t="shared" si="1"/>
        <v>5.9763327715478765E-2</v>
      </c>
    </row>
    <row r="44" spans="1:7">
      <c r="A44" s="59">
        <v>44835</v>
      </c>
      <c r="B44" s="2">
        <v>18012.2</v>
      </c>
      <c r="C44" s="8">
        <f t="shared" si="2"/>
        <v>5.3693179325332796E-2</v>
      </c>
      <c r="E44" s="60">
        <v>44865</v>
      </c>
      <c r="F44" s="24">
        <v>295.71347045898438</v>
      </c>
      <c r="G44" s="8">
        <f t="shared" si="1"/>
        <v>0.15248645463081845</v>
      </c>
    </row>
    <row r="45" spans="1:7">
      <c r="A45" s="59">
        <v>44805</v>
      </c>
      <c r="B45" s="2">
        <v>17094.349999999999</v>
      </c>
      <c r="C45" s="8">
        <f t="shared" si="2"/>
        <v>-3.7442354146841383E-2</v>
      </c>
      <c r="E45" s="60">
        <v>44834</v>
      </c>
      <c r="F45" s="24">
        <v>256.58737182617188</v>
      </c>
      <c r="G45" s="8">
        <f t="shared" si="1"/>
        <v>4.7703088185523379E-2</v>
      </c>
    </row>
    <row r="46" spans="1:7">
      <c r="A46" s="59">
        <v>44774</v>
      </c>
      <c r="B46" s="2">
        <v>17759.3</v>
      </c>
      <c r="C46" s="8">
        <f t="shared" si="2"/>
        <v>3.5029796162195925E-2</v>
      </c>
      <c r="E46" s="60">
        <v>44804</v>
      </c>
      <c r="F46" s="24">
        <v>244.9046630859375</v>
      </c>
      <c r="G46" s="8">
        <f t="shared" si="1"/>
        <v>-5.107622844873716E-2</v>
      </c>
    </row>
    <row r="47" spans="1:7">
      <c r="A47" s="59">
        <v>44743</v>
      </c>
      <c r="B47" s="2">
        <v>17158.25</v>
      </c>
      <c r="C47" s="8">
        <f t="shared" si="2"/>
        <v>8.7324345305048956E-2</v>
      </c>
      <c r="E47" s="60">
        <v>44773</v>
      </c>
      <c r="F47" s="24">
        <v>258.08676147460938</v>
      </c>
      <c r="G47" s="8">
        <f t="shared" si="1"/>
        <v>0.19251673097058974</v>
      </c>
    </row>
    <row r="48" spans="1:7">
      <c r="A48" s="59">
        <v>44713</v>
      </c>
      <c r="B48" s="2">
        <v>15780.25</v>
      </c>
      <c r="C48" s="8">
        <f t="shared" si="2"/>
        <v>-4.8496944445281853E-2</v>
      </c>
      <c r="E48" s="60">
        <v>44742</v>
      </c>
      <c r="F48" s="24">
        <v>216.42192077636719</v>
      </c>
      <c r="G48" s="8">
        <f t="shared" si="1"/>
        <v>-1.5842358554409297E-2</v>
      </c>
    </row>
    <row r="49" spans="1:7">
      <c r="A49" s="59">
        <v>44682</v>
      </c>
      <c r="B49" s="2">
        <v>16584.55</v>
      </c>
      <c r="C49" s="8">
        <f t="shared" si="2"/>
        <v>-3.0287881046978327E-2</v>
      </c>
      <c r="E49" s="60">
        <v>44712</v>
      </c>
      <c r="F49" s="24">
        <v>219.90574645996091</v>
      </c>
      <c r="G49" s="8">
        <f t="shared" si="1"/>
        <v>-0.11399849551655095</v>
      </c>
    </row>
    <row r="50" spans="1:7">
      <c r="A50" s="59">
        <v>44652</v>
      </c>
      <c r="B50" s="2">
        <v>17102.55</v>
      </c>
      <c r="C50" s="8">
        <f t="shared" si="2"/>
        <v>-2.0738916961307807E-2</v>
      </c>
      <c r="E50" s="60">
        <v>44681</v>
      </c>
      <c r="F50" s="24">
        <v>248.2001953125</v>
      </c>
      <c r="G50" s="8">
        <f t="shared" si="1"/>
        <v>-5.0953695173521218E-3</v>
      </c>
    </row>
    <row r="51" spans="1:7">
      <c r="A51" s="59">
        <v>44621</v>
      </c>
      <c r="B51" s="2">
        <v>17464.75</v>
      </c>
      <c r="C51" s="8">
        <f t="shared" si="2"/>
        <v>3.9946051840251462E-2</v>
      </c>
      <c r="E51" s="60">
        <v>44651</v>
      </c>
      <c r="F51" s="24">
        <v>249.4713439941406</v>
      </c>
      <c r="G51" s="8">
        <f t="shared" si="1"/>
        <v>0.12481432950367632</v>
      </c>
    </row>
    <row r="52" spans="1:7">
      <c r="A52" s="59">
        <v>44593</v>
      </c>
      <c r="B52" s="2">
        <v>16793.900000000001</v>
      </c>
      <c r="C52" s="8">
        <f t="shared" si="2"/>
        <v>-3.1485278131010208E-2</v>
      </c>
      <c r="E52" s="60">
        <v>44620</v>
      </c>
      <c r="F52" s="24">
        <v>221.7889099121094</v>
      </c>
      <c r="G52" s="8">
        <f t="shared" si="1"/>
        <v>-7.9882836522943146E-2</v>
      </c>
    </row>
    <row r="53" spans="1:7">
      <c r="A53" s="59">
        <v>44562</v>
      </c>
      <c r="B53" s="2">
        <v>17339.849999999999</v>
      </c>
      <c r="C53" s="8">
        <f t="shared" si="2"/>
        <v>-8.1825279977876253E-4</v>
      </c>
      <c r="E53" s="60">
        <v>44592</v>
      </c>
      <c r="F53" s="24">
        <v>241.04420471191409</v>
      </c>
      <c r="G53" s="8">
        <f>F53/F54-1</f>
        <v>7.4727176218929214E-2</v>
      </c>
    </row>
    <row r="54" spans="1:7">
      <c r="A54" s="59">
        <v>44531</v>
      </c>
      <c r="B54" s="2">
        <v>17354.05</v>
      </c>
      <c r="C54" s="8"/>
      <c r="E54" s="60">
        <v>44561</v>
      </c>
      <c r="F54" s="24">
        <v>224.2840881347656</v>
      </c>
    </row>
    <row r="55" spans="1:7">
      <c r="A55" s="59"/>
      <c r="B55" s="2"/>
      <c r="C55" s="8"/>
    </row>
    <row r="56" spans="1:7">
      <c r="A56" s="59"/>
      <c r="B56" s="2"/>
      <c r="C56" s="8"/>
    </row>
    <row r="57" spans="1:7">
      <c r="A57" s="59"/>
      <c r="B57" s="2"/>
      <c r="C57" s="8"/>
    </row>
    <row r="58" spans="1:7">
      <c r="A58" s="59"/>
      <c r="B58" s="2"/>
      <c r="C58" s="8"/>
    </row>
    <row r="59" spans="1:7">
      <c r="A59" s="59"/>
      <c r="B59" s="2"/>
      <c r="C59" s="8"/>
    </row>
    <row r="60" spans="1:7">
      <c r="A60" s="59"/>
      <c r="B60" s="2"/>
      <c r="C60" s="8"/>
    </row>
    <row r="61" spans="1:7">
      <c r="A61" s="59"/>
      <c r="B61" s="2"/>
      <c r="C61" s="8"/>
    </row>
    <row r="62" spans="1:7">
      <c r="A62" s="59"/>
      <c r="B62" s="2"/>
    </row>
  </sheetData>
  <pageMargins left="0.7" right="0.7" top="0.75" bottom="0.75" header="0.3" footer="0.3"/>
  <ignoredErrors>
    <ignoredError sqref="P4" evalErro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0620-0977-48E7-B8C1-2F1C292DADB8}">
  <dimension ref="A1:R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8" sqref="Q8"/>
    </sheetView>
  </sheetViews>
  <sheetFormatPr defaultRowHeight="15"/>
  <cols>
    <col min="1" max="1" width="23" style="1" bestFit="1" customWidth="1"/>
    <col min="2" max="2" width="12" bestFit="1" customWidth="1"/>
    <col min="3" max="5" width="12.140625" bestFit="1" customWidth="1"/>
    <col min="6" max="6" width="12.5703125" bestFit="1" customWidth="1"/>
    <col min="7" max="7" width="8.5703125" bestFit="1" customWidth="1"/>
    <col min="8" max="8" width="2.5703125" customWidth="1"/>
    <col min="9" max="9" width="16.7109375" bestFit="1" customWidth="1"/>
    <col min="10" max="10" width="12" bestFit="1" customWidth="1"/>
    <col min="11" max="11" width="2.85546875" customWidth="1"/>
    <col min="12" max="12" width="12" hidden="1" customWidth="1"/>
    <col min="13" max="13" width="8.5703125" hidden="1" customWidth="1"/>
    <col min="14" max="14" width="0" hidden="1" customWidth="1"/>
    <col min="15" max="15" width="5" hidden="1" customWidth="1"/>
    <col min="16" max="16" width="4" hidden="1" customWidth="1"/>
    <col min="17" max="17" width="23" bestFit="1" customWidth="1"/>
    <col min="18" max="18" width="9.5703125" bestFit="1" customWidth="1"/>
  </cols>
  <sheetData>
    <row r="1" spans="1:18" s="1" customFormat="1">
      <c r="B1" s="44">
        <v>2026</v>
      </c>
      <c r="C1" s="44">
        <f>B1+1</f>
        <v>2027</v>
      </c>
      <c r="D1" s="44">
        <f t="shared" ref="D1:F1" si="0">C1+1</f>
        <v>2028</v>
      </c>
      <c r="E1" s="42">
        <f t="shared" si="0"/>
        <v>2029</v>
      </c>
      <c r="F1" s="44">
        <f t="shared" si="0"/>
        <v>2030</v>
      </c>
      <c r="G1" s="44"/>
    </row>
    <row r="2" spans="1:18">
      <c r="A2" s="1" t="s">
        <v>480</v>
      </c>
      <c r="B2" s="18">
        <f>'Cash Flows'!G36</f>
        <v>9003.2598893981794</v>
      </c>
      <c r="C2" s="18">
        <f>'Cash Flows'!H36</f>
        <v>2718.8098898260432</v>
      </c>
      <c r="D2" s="18">
        <f>'Cash Flows'!I36</f>
        <v>11377.560011822823</v>
      </c>
      <c r="E2" s="39">
        <f>'Cash Flows'!J36</f>
        <v>4968.7483145306551</v>
      </c>
      <c r="F2" s="18">
        <f>'Cash Flows'!K36</f>
        <v>13596.442664527376</v>
      </c>
      <c r="G2" s="17"/>
      <c r="I2" s="56" t="s">
        <v>482</v>
      </c>
      <c r="Q2" s="74" t="s">
        <v>483</v>
      </c>
      <c r="R2" s="24">
        <f>SUM(C14:F14)</f>
        <v>204239.35680611606</v>
      </c>
    </row>
    <row r="3" spans="1:18">
      <c r="A3" s="1" t="s">
        <v>354</v>
      </c>
      <c r="B3" s="18">
        <f>'Cash Flows'!G40</f>
        <v>-2500</v>
      </c>
      <c r="C3" s="18">
        <f>'Cash Flows'!H40</f>
        <v>-2600</v>
      </c>
      <c r="D3" s="18">
        <f>'Cash Flows'!I40</f>
        <v>-2700</v>
      </c>
      <c r="E3" s="39">
        <f>'Cash Flows'!J40</f>
        <v>-3000</v>
      </c>
      <c r="F3" s="18">
        <f>'Cash Flows'!K40</f>
        <v>-3100</v>
      </c>
      <c r="G3" s="17"/>
      <c r="I3" t="s">
        <v>493</v>
      </c>
      <c r="J3" s="8">
        <v>6.6900000000000001E-2</v>
      </c>
      <c r="L3" s="1" t="s">
        <v>484</v>
      </c>
      <c r="M3" s="24">
        <f>'Balance Sheet'!H42+'Balance Sheet'!H48</f>
        <v>1790.5494525385454</v>
      </c>
      <c r="O3" t="s">
        <v>496</v>
      </c>
      <c r="P3">
        <v>300</v>
      </c>
      <c r="Q3" s="74" t="s">
        <v>504</v>
      </c>
      <c r="R3" s="24">
        <f>M3</f>
        <v>1790.5494525385454</v>
      </c>
    </row>
    <row r="4" spans="1:18">
      <c r="A4" s="1" t="s">
        <v>490</v>
      </c>
      <c r="B4" s="18">
        <f>'Cash Flows'!G39</f>
        <v>7.9927968215670102</v>
      </c>
      <c r="C4" s="18">
        <f>'Cash Flows'!H39</f>
        <v>2.7545447351314749</v>
      </c>
      <c r="D4" s="18">
        <f>'Cash Flows'!I39</f>
        <v>0</v>
      </c>
      <c r="E4" s="39">
        <f>'Cash Flows'!J39</f>
        <v>0</v>
      </c>
      <c r="F4" s="18">
        <f>'Cash Flows'!K39</f>
        <v>0</v>
      </c>
      <c r="G4" s="17"/>
      <c r="I4" t="s">
        <v>494</v>
      </c>
      <c r="J4" s="8">
        <f>Beta!M5</f>
        <v>0.12187608333113716</v>
      </c>
      <c r="L4" s="1" t="s">
        <v>26</v>
      </c>
      <c r="M4" s="24">
        <f>P3*P4</f>
        <v>49038.9234</v>
      </c>
      <c r="O4" t="s">
        <v>497</v>
      </c>
      <c r="P4" s="37">
        <f>'Income Statement '!F89/1000000</f>
        <v>163.463078</v>
      </c>
      <c r="Q4" t="s">
        <v>505</v>
      </c>
      <c r="R4" s="2">
        <f>'Balance Sheet'!G24+'Balance Sheet'!G25</f>
        <v>2956.55</v>
      </c>
    </row>
    <row r="5" spans="1:18">
      <c r="A5" s="1" t="s">
        <v>481</v>
      </c>
      <c r="B5" s="46">
        <f>B2+B3+B4</f>
        <v>6511.2526862197465</v>
      </c>
      <c r="C5" s="46">
        <f t="shared" ref="C5:F5" si="1">C2+C3+C4</f>
        <v>121.56443456117469</v>
      </c>
      <c r="D5" s="46">
        <f t="shared" si="1"/>
        <v>8677.5600118228231</v>
      </c>
      <c r="E5" s="236">
        <f t="shared" si="1"/>
        <v>1968.7483145306551</v>
      </c>
      <c r="F5" s="46">
        <f t="shared" si="1"/>
        <v>10496.442664527376</v>
      </c>
      <c r="G5" s="17"/>
      <c r="I5" t="s">
        <v>495</v>
      </c>
      <c r="J5" s="24">
        <f>Beta!M7</f>
        <v>1.1836085980349467</v>
      </c>
      <c r="L5" s="1" t="s">
        <v>498</v>
      </c>
      <c r="M5" s="24">
        <f>M3+M4</f>
        <v>50829.472852538544</v>
      </c>
      <c r="Q5" t="s">
        <v>506</v>
      </c>
      <c r="R5" s="24">
        <f>R2-R3+R4</f>
        <v>205405.35735357751</v>
      </c>
    </row>
    <row r="6" spans="1:18" ht="15.75" thickBot="1">
      <c r="B6" s="17"/>
      <c r="C6" s="17"/>
      <c r="D6" s="17"/>
      <c r="E6" s="38"/>
      <c r="F6" s="17"/>
      <c r="G6" s="17"/>
      <c r="I6" t="s">
        <v>491</v>
      </c>
      <c r="J6" s="8">
        <v>8.5000000000000006E-2</v>
      </c>
      <c r="Q6" t="s">
        <v>507</v>
      </c>
      <c r="R6" s="37">
        <f>'Income Statement '!F89/1000000</f>
        <v>163.463078</v>
      </c>
    </row>
    <row r="7" spans="1:18" ht="15.75" thickBot="1">
      <c r="A7" s="1" t="s">
        <v>422</v>
      </c>
      <c r="B7" s="22">
        <v>7.4999999999999997E-2</v>
      </c>
      <c r="C7" s="17"/>
      <c r="D7" s="17"/>
      <c r="E7" s="38"/>
      <c r="F7" s="17"/>
      <c r="G7" s="17"/>
      <c r="I7" t="s">
        <v>492</v>
      </c>
      <c r="J7" s="8">
        <f>J3+J5*(J4-J3)</f>
        <v>0.13197016491701966</v>
      </c>
      <c r="Q7" s="87" t="s">
        <v>513</v>
      </c>
      <c r="R7" s="238">
        <f>R5/R6</f>
        <v>1256.5856453136012</v>
      </c>
    </row>
    <row r="8" spans="1:18">
      <c r="A8" s="1" t="s">
        <v>482</v>
      </c>
      <c r="B8" s="22">
        <f>J10</f>
        <v>0.1295670005305104</v>
      </c>
      <c r="C8" s="17"/>
      <c r="D8" s="17"/>
      <c r="E8" s="38"/>
      <c r="F8" s="17"/>
      <c r="G8" s="17"/>
      <c r="I8" t="s">
        <v>502</v>
      </c>
      <c r="J8">
        <f>M3/M5</f>
        <v>3.5226598901253826E-2</v>
      </c>
    </row>
    <row r="9" spans="1:18">
      <c r="B9" s="17"/>
      <c r="C9" s="17"/>
      <c r="D9" s="17"/>
      <c r="E9" s="38"/>
      <c r="F9" s="17"/>
      <c r="G9" s="17"/>
      <c r="I9" t="s">
        <v>503</v>
      </c>
      <c r="J9">
        <f>M4/M5</f>
        <v>0.96477340109874621</v>
      </c>
    </row>
    <row r="10" spans="1:18">
      <c r="B10" s="17"/>
      <c r="C10" s="17"/>
      <c r="D10" s="17"/>
      <c r="E10" s="38"/>
      <c r="F10" s="17"/>
      <c r="G10" s="17"/>
      <c r="I10" t="s">
        <v>482</v>
      </c>
      <c r="J10" s="8">
        <f>((J8*J6)*(1-'Income Statement '!G84))+(J9*J7)</f>
        <v>0.1295670005305104</v>
      </c>
    </row>
    <row r="11" spans="1:18">
      <c r="B11" s="235">
        <v>0</v>
      </c>
      <c r="C11" s="235">
        <v>1</v>
      </c>
      <c r="D11" s="235">
        <v>2</v>
      </c>
      <c r="E11" s="237">
        <v>3</v>
      </c>
      <c r="F11" s="235">
        <v>4</v>
      </c>
      <c r="G11" s="235">
        <v>5</v>
      </c>
      <c r="J11" s="11"/>
    </row>
    <row r="12" spans="1:18">
      <c r="A12" s="1" t="s">
        <v>481</v>
      </c>
      <c r="B12" s="17"/>
      <c r="C12" s="46">
        <f>B5</f>
        <v>6511.2526862197465</v>
      </c>
      <c r="D12" s="46">
        <f>C5</f>
        <v>121.56443456117469</v>
      </c>
      <c r="E12" s="236">
        <f>D5</f>
        <v>8677.5600118228231</v>
      </c>
      <c r="F12" s="46">
        <f>E5</f>
        <v>1968.7483145306551</v>
      </c>
      <c r="G12" s="46">
        <f>F5</f>
        <v>10496.442664527376</v>
      </c>
    </row>
    <row r="13" spans="1:18">
      <c r="B13" s="17"/>
      <c r="C13" s="17"/>
      <c r="D13" s="17"/>
      <c r="E13" s="38"/>
      <c r="F13" s="17"/>
      <c r="G13" s="17"/>
    </row>
    <row r="14" spans="1:18">
      <c r="B14" s="17"/>
      <c r="C14" s="46">
        <f t="shared" ref="C14:D14" si="2">C12/(1+$B$8)^C11</f>
        <v>5764.3793446176123</v>
      </c>
      <c r="D14" s="46">
        <f t="shared" si="2"/>
        <v>95.275786328460029</v>
      </c>
      <c r="E14" s="236">
        <f>E12/(1+$B$8)^E11</f>
        <v>6020.9030884961321</v>
      </c>
      <c r="F14" s="46">
        <f>G12/(B8-B7)</f>
        <v>192358.79858667386</v>
      </c>
      <c r="G14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4764-BFAC-47E3-965E-4C3FD3F5AED3}">
  <dimension ref="A1:X3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defaultRowHeight="15"/>
  <cols>
    <col min="1" max="1" width="21.85546875" bestFit="1" customWidth="1"/>
    <col min="2" max="2" width="12.5703125" bestFit="1" customWidth="1"/>
    <col min="3" max="3" width="9" bestFit="1" customWidth="1"/>
    <col min="4" max="4" width="11.28515625" bestFit="1" customWidth="1"/>
    <col min="5" max="5" width="9" bestFit="1" customWidth="1"/>
    <col min="6" max="6" width="11.28515625" bestFit="1" customWidth="1"/>
    <col min="7" max="7" width="9" bestFit="1" customWidth="1"/>
    <col min="8" max="8" width="11.28515625" bestFit="1" customWidth="1"/>
    <col min="9" max="9" width="9" bestFit="1" customWidth="1"/>
    <col min="10" max="10" width="11.28515625" bestFit="1" customWidth="1"/>
    <col min="11" max="11" width="9.7109375" bestFit="1" customWidth="1"/>
    <col min="12" max="12" width="3.140625" customWidth="1"/>
    <col min="13" max="13" width="16.42578125" customWidth="1"/>
    <col min="14" max="18" width="11.28515625" bestFit="1" customWidth="1"/>
    <col min="19" max="19" width="2" customWidth="1"/>
  </cols>
  <sheetData>
    <row r="1" spans="1:24">
      <c r="B1" s="1">
        <v>2021</v>
      </c>
      <c r="C1" s="1">
        <f>B1+1</f>
        <v>2022</v>
      </c>
      <c r="D1" s="1">
        <f>C1+1</f>
        <v>2023</v>
      </c>
      <c r="E1" s="1">
        <f>D1+1</f>
        <v>2024</v>
      </c>
      <c r="F1" s="1">
        <f>E1+1</f>
        <v>2025</v>
      </c>
    </row>
    <row r="3" spans="1:24">
      <c r="A3" t="s">
        <v>106</v>
      </c>
    </row>
    <row r="4" spans="1:24">
      <c r="A4" t="s">
        <v>107</v>
      </c>
    </row>
    <row r="6" spans="1:24">
      <c r="A6" t="s">
        <v>108</v>
      </c>
      <c r="E6" s="2">
        <f>'Balance Sheet'!F9</f>
        <v>2060.77</v>
      </c>
      <c r="F6" s="2">
        <f>'Balance Sheet'!G9</f>
        <v>2060.77</v>
      </c>
    </row>
    <row r="7" spans="1:24">
      <c r="A7" t="s">
        <v>107</v>
      </c>
      <c r="E7" s="8">
        <f>E6/'Balance Sheet'!F38</f>
        <v>0.10585645167172721</v>
      </c>
      <c r="F7" s="8">
        <f>F6/'Balance Sheet'!G38</f>
        <v>9.0922447423664704E-2</v>
      </c>
    </row>
    <row r="9" spans="1:24">
      <c r="A9" t="s">
        <v>105</v>
      </c>
      <c r="B9" t="s">
        <v>109</v>
      </c>
    </row>
    <row r="11" spans="1:24">
      <c r="A11" t="s">
        <v>119</v>
      </c>
      <c r="B11" t="s">
        <v>121</v>
      </c>
      <c r="C11">
        <v>453</v>
      </c>
      <c r="D11">
        <v>531</v>
      </c>
      <c r="E11">
        <v>593</v>
      </c>
      <c r="F11">
        <v>638</v>
      </c>
      <c r="N11" s="37"/>
    </row>
    <row r="12" spans="1:24">
      <c r="A12" t="s">
        <v>120</v>
      </c>
      <c r="B12" s="15">
        <v>6943</v>
      </c>
      <c r="C12" s="15">
        <v>7000</v>
      </c>
      <c r="D12" s="15">
        <v>7914</v>
      </c>
      <c r="E12" s="15">
        <v>8041</v>
      </c>
      <c r="F12" s="15">
        <v>8647</v>
      </c>
    </row>
    <row r="14" spans="1:24">
      <c r="B14" s="62">
        <v>2021</v>
      </c>
      <c r="C14" s="65"/>
      <c r="D14" s="66">
        <v>2022</v>
      </c>
      <c r="E14" s="65"/>
      <c r="F14" s="66">
        <v>2023</v>
      </c>
      <c r="G14" s="65"/>
      <c r="H14" s="66">
        <v>2024</v>
      </c>
      <c r="I14" s="65"/>
      <c r="J14" s="66">
        <v>2025</v>
      </c>
      <c r="K14" s="65"/>
      <c r="M14" s="19"/>
      <c r="N14" s="1">
        <v>2021</v>
      </c>
      <c r="O14" s="21">
        <v>2022</v>
      </c>
      <c r="P14" s="21">
        <v>2023</v>
      </c>
      <c r="Q14" s="21">
        <v>2024</v>
      </c>
      <c r="R14" s="21">
        <v>2025</v>
      </c>
      <c r="T14" s="1">
        <v>2021</v>
      </c>
      <c r="U14" s="21">
        <v>2022</v>
      </c>
      <c r="V14" s="21">
        <v>2023</v>
      </c>
      <c r="W14" s="21">
        <v>2024</v>
      </c>
      <c r="X14" s="21">
        <v>2025</v>
      </c>
    </row>
    <row r="15" spans="1:24">
      <c r="B15" t="s">
        <v>140</v>
      </c>
      <c r="C15" s="17" t="s">
        <v>141</v>
      </c>
      <c r="D15" s="19" t="s">
        <v>140</v>
      </c>
      <c r="E15" s="17" t="s">
        <v>141</v>
      </c>
      <c r="F15" s="19" t="s">
        <v>140</v>
      </c>
      <c r="G15" s="17" t="s">
        <v>141</v>
      </c>
      <c r="H15" s="19" t="s">
        <v>140</v>
      </c>
      <c r="I15" s="17" t="s">
        <v>141</v>
      </c>
      <c r="J15" s="19" t="s">
        <v>140</v>
      </c>
      <c r="K15" s="17" t="s">
        <v>141</v>
      </c>
      <c r="M15" s="19"/>
      <c r="N15" t="s">
        <v>140</v>
      </c>
      <c r="O15" s="19" t="s">
        <v>140</v>
      </c>
      <c r="P15" s="19" t="s">
        <v>140</v>
      </c>
      <c r="Q15" s="19" t="s">
        <v>140</v>
      </c>
      <c r="R15" s="19" t="s">
        <v>140</v>
      </c>
      <c r="T15" s="17" t="s">
        <v>141</v>
      </c>
      <c r="U15" s="17" t="s">
        <v>141</v>
      </c>
      <c r="V15" s="17" t="s">
        <v>141</v>
      </c>
      <c r="W15" s="17" t="s">
        <v>141</v>
      </c>
      <c r="X15" s="17" t="s">
        <v>141</v>
      </c>
    </row>
    <row r="16" spans="1:24">
      <c r="A16" t="s">
        <v>134</v>
      </c>
      <c r="B16" s="2">
        <v>1516.24</v>
      </c>
      <c r="C16" s="17"/>
      <c r="D16" s="20">
        <v>1782.49</v>
      </c>
      <c r="E16" s="17"/>
      <c r="F16" s="20">
        <v>2336.16</v>
      </c>
      <c r="G16" s="17"/>
      <c r="H16" s="20">
        <v>2601.36</v>
      </c>
      <c r="I16" s="17"/>
      <c r="J16" s="20">
        <v>2726.87</v>
      </c>
      <c r="K16" s="17"/>
      <c r="M16" s="19" t="s">
        <v>134</v>
      </c>
      <c r="N16" s="8">
        <f t="shared" ref="N16:N23" si="0">B16/B$25</f>
        <v>0.30281255554512609</v>
      </c>
      <c r="O16" s="23">
        <f t="shared" ref="O16:O24" si="1">D16/D$25</f>
        <v>0.35698278261879623</v>
      </c>
      <c r="P16" s="23">
        <f t="shared" ref="P16:P24" si="2">F16/F$25</f>
        <v>0.44413603776418681</v>
      </c>
      <c r="Q16" s="23">
        <f t="shared" ref="Q16:Q24" si="3">H16/H$25</f>
        <v>0.36144407562458919</v>
      </c>
      <c r="R16" s="23">
        <f t="shared" ref="R16:R24" si="4">J16/J$25</f>
        <v>0.33476806354389815</v>
      </c>
      <c r="T16" s="22"/>
      <c r="U16" s="22"/>
      <c r="V16" s="22"/>
      <c r="W16" s="22"/>
      <c r="X16" s="22"/>
    </row>
    <row r="17" spans="1:24">
      <c r="A17" t="s">
        <v>133</v>
      </c>
      <c r="B17">
        <v>875.89</v>
      </c>
      <c r="C17" s="17"/>
      <c r="D17" s="19">
        <v>693.01</v>
      </c>
      <c r="E17" s="17"/>
      <c r="F17" s="20">
        <v>1497.54</v>
      </c>
      <c r="G17" s="17"/>
      <c r="H17" s="20">
        <v>2486.54</v>
      </c>
      <c r="I17" s="17"/>
      <c r="J17" s="20">
        <v>2850.81</v>
      </c>
      <c r="K17" s="17"/>
      <c r="M17" s="19" t="s">
        <v>133</v>
      </c>
      <c r="N17" s="8">
        <f t="shared" si="0"/>
        <v>0.17492645575662197</v>
      </c>
      <c r="O17" s="23">
        <f t="shared" si="1"/>
        <v>0.13879047746840206</v>
      </c>
      <c r="P17" s="23">
        <f t="shared" si="2"/>
        <v>0.28470288079300232</v>
      </c>
      <c r="Q17" s="23">
        <f t="shared" si="3"/>
        <v>0.3454904941275202</v>
      </c>
      <c r="R17" s="23">
        <f t="shared" si="4"/>
        <v>0.34998373344955214</v>
      </c>
      <c r="T17" s="22"/>
      <c r="U17" s="22"/>
      <c r="V17" s="22"/>
      <c r="W17" s="22"/>
      <c r="X17" s="22"/>
    </row>
    <row r="18" spans="1:24">
      <c r="A18" t="s">
        <v>135</v>
      </c>
      <c r="B18" s="2">
        <v>1725.64</v>
      </c>
      <c r="C18" s="17"/>
      <c r="D18" s="20">
        <v>2012.1</v>
      </c>
      <c r="E18" s="17">
        <v>20.5</v>
      </c>
      <c r="F18" s="20">
        <f>1500.69+0.5+18.34</f>
        <v>1519.53</v>
      </c>
      <c r="G18" s="17"/>
      <c r="H18" s="20">
        <v>2006.7</v>
      </c>
      <c r="I18" s="17"/>
      <c r="J18" s="20">
        <v>2212.5500000000002</v>
      </c>
      <c r="K18" s="17">
        <v>18.54</v>
      </c>
      <c r="M18" s="19" t="s">
        <v>135</v>
      </c>
      <c r="N18" s="8">
        <f t="shared" si="0"/>
        <v>0.34463241858207894</v>
      </c>
      <c r="O18" s="23">
        <f t="shared" si="1"/>
        <v>0.40296722949765773</v>
      </c>
      <c r="P18" s="23">
        <f t="shared" si="2"/>
        <v>0.28888348121011181</v>
      </c>
      <c r="Q18" s="23">
        <f t="shared" si="3"/>
        <v>0.2788194738736135</v>
      </c>
      <c r="R18" s="23">
        <f t="shared" si="4"/>
        <v>0.27162683919440672</v>
      </c>
      <c r="T18" s="22"/>
      <c r="U18" s="22">
        <f t="shared" ref="U18:U23" si="5">E18/D$25</f>
        <v>4.1055753713542982E-3</v>
      </c>
      <c r="V18" s="22"/>
      <c r="W18" s="22"/>
      <c r="X18" s="22">
        <f t="shared" ref="X18:X23" si="6">K18/J$25</f>
        <v>2.2760893985059325E-3</v>
      </c>
    </row>
    <row r="19" spans="1:24">
      <c r="A19" t="s">
        <v>136</v>
      </c>
      <c r="B19">
        <v>399.51</v>
      </c>
      <c r="C19" s="17"/>
      <c r="D19" s="19">
        <v>411</v>
      </c>
      <c r="E19" s="17">
        <v>31.26</v>
      </c>
      <c r="F19" s="19">
        <f>529.5+0.55+148.93</f>
        <v>678.98</v>
      </c>
      <c r="G19" s="17"/>
      <c r="H19" s="19">
        <v>883.75</v>
      </c>
      <c r="I19" s="17"/>
      <c r="J19" s="19">
        <v>559.44000000000005</v>
      </c>
      <c r="K19" s="17">
        <v>33.369999999999997</v>
      </c>
      <c r="M19" s="19" t="s">
        <v>136</v>
      </c>
      <c r="N19" s="8">
        <f t="shared" si="0"/>
        <v>7.9787265911619082E-2</v>
      </c>
      <c r="O19" s="23">
        <f t="shared" si="1"/>
        <v>8.2311779396420329E-2</v>
      </c>
      <c r="P19" s="23">
        <f t="shared" si="2"/>
        <v>0.12908340478440158</v>
      </c>
      <c r="Q19" s="23">
        <f t="shared" si="3"/>
        <v>0.12279200181183331</v>
      </c>
      <c r="R19" s="23">
        <f t="shared" si="4"/>
        <v>6.8680445151033387E-2</v>
      </c>
      <c r="T19" s="22"/>
      <c r="U19" s="22">
        <f t="shared" si="5"/>
        <v>6.2605017613919694E-3</v>
      </c>
      <c r="V19" s="22"/>
      <c r="W19" s="22"/>
      <c r="X19" s="22">
        <f t="shared" si="6"/>
        <v>4.0967153844737305E-3</v>
      </c>
    </row>
    <row r="20" spans="1:24">
      <c r="A20" t="s">
        <v>137</v>
      </c>
      <c r="B20">
        <f>362.03+199.53</f>
        <v>561.55999999999995</v>
      </c>
      <c r="C20" s="17">
        <v>26</v>
      </c>
      <c r="D20" s="19">
        <f>144.69+321.39</f>
        <v>466.08</v>
      </c>
      <c r="E20" s="17">
        <v>0.69</v>
      </c>
      <c r="F20" s="19">
        <f>99.71+12.68</f>
        <v>112.38999999999999</v>
      </c>
      <c r="G20" s="17">
        <f>10.25+10.25</f>
        <v>20.5</v>
      </c>
      <c r="H20" s="19">
        <v>191.9</v>
      </c>
      <c r="I20" s="17"/>
      <c r="J20" s="19">
        <v>177.94</v>
      </c>
      <c r="K20" s="17">
        <v>39.020000000000003</v>
      </c>
      <c r="M20" s="19" t="s">
        <v>137</v>
      </c>
      <c r="N20" s="8">
        <f t="shared" si="0"/>
        <v>0.11215072725420842</v>
      </c>
      <c r="O20" s="23">
        <f t="shared" si="1"/>
        <v>9.3342759467356651E-2</v>
      </c>
      <c r="P20" s="23">
        <f t="shared" si="2"/>
        <v>2.1366879530647281E-2</v>
      </c>
      <c r="Q20" s="23">
        <f t="shared" si="3"/>
        <v>2.6663406107712378E-2</v>
      </c>
      <c r="R20" s="23">
        <f t="shared" si="4"/>
        <v>2.1845056503244101E-2</v>
      </c>
      <c r="T20" s="22">
        <f>C20/B$25</f>
        <v>5.192533137348492E-3</v>
      </c>
      <c r="U20" s="22">
        <f t="shared" si="5"/>
        <v>1.3818765884070563E-4</v>
      </c>
      <c r="V20" s="22">
        <f>G20/F$25</f>
        <v>3.897330993667313E-3</v>
      </c>
      <c r="W20" s="22"/>
      <c r="X20" s="22">
        <f t="shared" si="6"/>
        <v>4.7903456488512129E-3</v>
      </c>
    </row>
    <row r="21" spans="1:24">
      <c r="A21" t="s">
        <v>138</v>
      </c>
      <c r="B21">
        <f>90.08+60.69</f>
        <v>150.76999999999998</v>
      </c>
      <c r="C21" s="17"/>
      <c r="D21" s="19">
        <f>73.88+122.51</f>
        <v>196.39</v>
      </c>
      <c r="E21" s="17">
        <f>0.02+27.14</f>
        <v>27.16</v>
      </c>
      <c r="F21" s="19">
        <f>61.25+0.21</f>
        <v>61.46</v>
      </c>
      <c r="G21" s="17">
        <f>15.65+15.65</f>
        <v>31.3</v>
      </c>
      <c r="H21" s="19">
        <v>47.81</v>
      </c>
      <c r="I21" s="17">
        <f>11.34+11.34</f>
        <v>22.68</v>
      </c>
      <c r="J21" s="19">
        <v>0.97</v>
      </c>
      <c r="K21" s="17"/>
      <c r="M21" s="19" t="s">
        <v>138</v>
      </c>
      <c r="N21" s="8">
        <f t="shared" si="0"/>
        <v>3.0110700812232005E-2</v>
      </c>
      <c r="O21" s="23">
        <f t="shared" si="1"/>
        <v>3.9331412057574178E-2</v>
      </c>
      <c r="P21" s="23">
        <f t="shared" si="2"/>
        <v>1.1684388432721612E-2</v>
      </c>
      <c r="Q21" s="23">
        <f t="shared" si="3"/>
        <v>6.6429257217807645E-3</v>
      </c>
      <c r="R21" s="23">
        <f t="shared" si="4"/>
        <v>1.1908342591967392E-4</v>
      </c>
      <c r="T21" s="22"/>
      <c r="U21" s="22">
        <f t="shared" si="5"/>
        <v>5.4393866871211092E-3</v>
      </c>
      <c r="V21" s="22">
        <f>G21/F$25</f>
        <v>5.9505590293554584E-3</v>
      </c>
      <c r="W21" s="22">
        <f>I21/H$25</f>
        <v>3.1512561257056627E-3</v>
      </c>
      <c r="X21" s="22">
        <f t="shared" si="6"/>
        <v>0</v>
      </c>
    </row>
    <row r="22" spans="1:24">
      <c r="A22" t="s">
        <v>139</v>
      </c>
      <c r="B22">
        <f>76.03+9.51</f>
        <v>85.54</v>
      </c>
      <c r="C22" s="17">
        <f>159.54+92.86</f>
        <v>252.39999999999998</v>
      </c>
      <c r="D22" s="19">
        <f>21.35+13.4</f>
        <v>34.75</v>
      </c>
      <c r="E22" s="17">
        <f>159.54+92.86</f>
        <v>252.39999999999998</v>
      </c>
      <c r="F22" s="19">
        <f>78.41+11.13</f>
        <v>89.539999999999992</v>
      </c>
      <c r="G22" s="17">
        <f>29.77+211.17</f>
        <v>240.94</v>
      </c>
      <c r="H22" s="19">
        <v>9.0399999999999991</v>
      </c>
      <c r="I22" s="17">
        <f>44.36+225.73</f>
        <v>270.08999999999997</v>
      </c>
      <c r="J22" s="19">
        <v>0.09</v>
      </c>
      <c r="K22" s="17">
        <f>55.7+237.07</f>
        <v>292.77</v>
      </c>
      <c r="M22" s="19" t="s">
        <v>139</v>
      </c>
      <c r="N22" s="8">
        <f t="shared" si="0"/>
        <v>1.708343402187654E-2</v>
      </c>
      <c r="O22" s="23">
        <f t="shared" si="1"/>
        <v>6.959450934368872E-3</v>
      </c>
      <c r="P22" s="23">
        <f t="shared" si="2"/>
        <v>1.7022781325510789E-2</v>
      </c>
      <c r="Q22" s="23">
        <f t="shared" si="3"/>
        <v>1.2560562335264193E-3</v>
      </c>
      <c r="R22" s="23">
        <f t="shared" si="4"/>
        <v>1.1048977662650157E-5</v>
      </c>
      <c r="T22" s="22">
        <f>C22/B$25</f>
        <v>5.0407513994875357E-2</v>
      </c>
      <c r="U22" s="22">
        <f t="shared" si="5"/>
        <v>5.0548645059991452E-2</v>
      </c>
      <c r="V22" s="22">
        <f>G22/F$25</f>
        <v>4.5805996566546457E-2</v>
      </c>
      <c r="W22" s="22">
        <f>I22/H$25</f>
        <v>3.7527458862074183E-2</v>
      </c>
      <c r="X22" s="22">
        <f t="shared" si="6"/>
        <v>3.594232433660096E-2</v>
      </c>
    </row>
    <row r="23" spans="1:24">
      <c r="A23" t="s">
        <v>24</v>
      </c>
      <c r="B23" s="2">
        <f t="shared" ref="B23:G23" si="7">SUM(B16:B22)</f>
        <v>5315.1500000000005</v>
      </c>
      <c r="C23" s="18">
        <f t="shared" si="7"/>
        <v>278.39999999999998</v>
      </c>
      <c r="D23" s="20">
        <f t="shared" si="7"/>
        <v>5595.8200000000006</v>
      </c>
      <c r="E23" s="18">
        <f t="shared" si="7"/>
        <v>332.01</v>
      </c>
      <c r="F23" s="20">
        <f t="shared" si="7"/>
        <v>6295.5999999999995</v>
      </c>
      <c r="G23" s="18">
        <f t="shared" si="7"/>
        <v>292.74</v>
      </c>
      <c r="H23" s="20">
        <v>8227.1</v>
      </c>
      <c r="I23" s="17">
        <f>SUM(I16:I22)</f>
        <v>292.77</v>
      </c>
      <c r="J23" s="20">
        <v>8528.67</v>
      </c>
      <c r="K23" s="17">
        <f>SUM(K16:K22)</f>
        <v>383.7</v>
      </c>
      <c r="M23" s="19" t="s">
        <v>24</v>
      </c>
      <c r="N23" s="8">
        <f t="shared" si="0"/>
        <v>1.061503557883763</v>
      </c>
      <c r="O23" s="23">
        <f t="shared" si="1"/>
        <v>1.1206858914405762</v>
      </c>
      <c r="P23" s="23">
        <f t="shared" si="2"/>
        <v>1.196879853840582</v>
      </c>
      <c r="Q23" s="23">
        <f t="shared" si="3"/>
        <v>1.1431084335005759</v>
      </c>
      <c r="R23" s="23">
        <f t="shared" si="4"/>
        <v>1.0470342702457169</v>
      </c>
      <c r="T23" s="22">
        <f>C23/B$25</f>
        <v>5.560004713222385E-2</v>
      </c>
      <c r="U23" s="22">
        <f t="shared" si="5"/>
        <v>6.6492296538699536E-2</v>
      </c>
      <c r="V23" s="22">
        <f>G23/F$25</f>
        <v>5.5653886589569233E-2</v>
      </c>
      <c r="W23" s="22">
        <f>I23/H$25</f>
        <v>4.0678714987779842E-2</v>
      </c>
      <c r="X23" s="22">
        <f t="shared" si="6"/>
        <v>4.7105474768431833E-2</v>
      </c>
    </row>
    <row r="24" spans="1:24">
      <c r="A24" t="s">
        <v>142</v>
      </c>
      <c r="B24" s="71">
        <v>586.36</v>
      </c>
      <c r="C24" s="69"/>
      <c r="D24" s="70">
        <v>934.62</v>
      </c>
      <c r="E24" s="69"/>
      <c r="F24" s="68">
        <v>1328.33</v>
      </c>
      <c r="G24" s="69"/>
      <c r="H24" s="68">
        <v>1322.74</v>
      </c>
      <c r="I24" s="69"/>
      <c r="J24" s="70">
        <v>766.82</v>
      </c>
      <c r="K24" s="69"/>
      <c r="M24" s="19" t="s">
        <v>142</v>
      </c>
      <c r="N24" s="8">
        <f>B24/B25</f>
        <v>0.117103605015987</v>
      </c>
      <c r="O24" s="23">
        <f t="shared" si="1"/>
        <v>0.18717818797927582</v>
      </c>
      <c r="P24" s="23">
        <f t="shared" si="2"/>
        <v>0.25253374043015131</v>
      </c>
      <c r="Q24" s="23">
        <f t="shared" si="3"/>
        <v>0.18378714848835576</v>
      </c>
      <c r="R24" s="23">
        <f t="shared" si="4"/>
        <v>9.4139745014148818E-2</v>
      </c>
    </row>
    <row r="25" spans="1:24" s="1" customFormat="1">
      <c r="A25" s="1" t="s">
        <v>96</v>
      </c>
      <c r="B25" s="67">
        <f>B23+C23-B24</f>
        <v>5007.1900000000005</v>
      </c>
      <c r="C25" s="64"/>
      <c r="D25" s="63">
        <f>D23+E23-D24</f>
        <v>4993.2100000000009</v>
      </c>
      <c r="E25" s="64"/>
      <c r="F25" s="63">
        <f>F23+G23-F24</f>
        <v>5260.0099999999993</v>
      </c>
      <c r="G25" s="64"/>
      <c r="H25" s="63">
        <f>H23+I23-H24</f>
        <v>7197.130000000001</v>
      </c>
      <c r="I25" s="64"/>
      <c r="J25" s="63">
        <f>J23+K23-J24</f>
        <v>8145.5500000000011</v>
      </c>
      <c r="K25" s="64"/>
      <c r="M25" s="21"/>
    </row>
    <row r="27" spans="1:24">
      <c r="A27" t="s">
        <v>184</v>
      </c>
      <c r="C27" t="s">
        <v>188</v>
      </c>
      <c r="D27" t="s">
        <v>189</v>
      </c>
      <c r="F27" t="s">
        <v>194</v>
      </c>
      <c r="G27" t="s">
        <v>190</v>
      </c>
      <c r="I27">
        <v>3000000</v>
      </c>
    </row>
    <row r="28" spans="1:24">
      <c r="A28" t="s">
        <v>185</v>
      </c>
      <c r="B28">
        <v>400</v>
      </c>
      <c r="C28">
        <f>(B28+B29)*0.6</f>
        <v>720</v>
      </c>
      <c r="D28">
        <f>B28+B29-C28</f>
        <v>480</v>
      </c>
      <c r="H28" t="s">
        <v>192</v>
      </c>
      <c r="I28">
        <v>550000</v>
      </c>
      <c r="J28" t="s">
        <v>193</v>
      </c>
      <c r="K28">
        <f>I28*0.333</f>
        <v>183150</v>
      </c>
    </row>
    <row r="29" spans="1:24">
      <c r="A29" t="s">
        <v>186</v>
      </c>
      <c r="B29">
        <v>800</v>
      </c>
      <c r="H29" t="s">
        <v>191</v>
      </c>
      <c r="I29">
        <f>I27-I28</f>
        <v>2450000</v>
      </c>
      <c r="J29" t="s">
        <v>198</v>
      </c>
      <c r="K29">
        <f>I29+I28</f>
        <v>3000000</v>
      </c>
    </row>
    <row r="30" spans="1:24">
      <c r="A30" t="s">
        <v>187</v>
      </c>
    </row>
    <row r="31" spans="1:24">
      <c r="F31" t="s">
        <v>195</v>
      </c>
      <c r="G31" t="s">
        <v>197</v>
      </c>
      <c r="I31" s="15">
        <v>140000</v>
      </c>
      <c r="J31" t="s">
        <v>193</v>
      </c>
      <c r="K31">
        <f>I31*0.2</f>
        <v>28000</v>
      </c>
    </row>
    <row r="32" spans="1:24">
      <c r="F32" t="s">
        <v>196</v>
      </c>
      <c r="J32" t="s">
        <v>198</v>
      </c>
      <c r="K32" s="15">
        <f>I31-K31</f>
        <v>112000</v>
      </c>
    </row>
    <row r="34" spans="7:9">
      <c r="G34" t="s">
        <v>199</v>
      </c>
      <c r="H34" t="s">
        <v>200</v>
      </c>
      <c r="I34">
        <v>30000</v>
      </c>
    </row>
    <row r="35" spans="7:9">
      <c r="H35" t="s">
        <v>201</v>
      </c>
      <c r="I35">
        <v>50000</v>
      </c>
    </row>
  </sheetData>
  <mergeCells count="15">
    <mergeCell ref="B25:C25"/>
    <mergeCell ref="B14:C14"/>
    <mergeCell ref="D14:E14"/>
    <mergeCell ref="F14:G14"/>
    <mergeCell ref="H14:I14"/>
    <mergeCell ref="B24:C24"/>
    <mergeCell ref="J14:K14"/>
    <mergeCell ref="D24:E24"/>
    <mergeCell ref="F24:G24"/>
    <mergeCell ref="H24:I24"/>
    <mergeCell ref="H25:I25"/>
    <mergeCell ref="F25:G25"/>
    <mergeCell ref="D25:E25"/>
    <mergeCell ref="J24:K24"/>
    <mergeCell ref="J25:K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Balance Sheet</vt:lpstr>
      <vt:lpstr>Income Statement </vt:lpstr>
      <vt:lpstr>Cash Flows</vt:lpstr>
      <vt:lpstr>Notes</vt:lpstr>
      <vt:lpstr>Ratios</vt:lpstr>
      <vt:lpstr>Key Indicator</vt:lpstr>
      <vt:lpstr>Revenue Forecasting </vt:lpstr>
      <vt:lpstr>Beta</vt:lpstr>
      <vt:lpstr>DCF </vt:lpstr>
      <vt:lpstr>Flags</vt:lpstr>
      <vt:lpstr>Beta!_?frequency_1mo_period1_1614793098_period2_1772559485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Nihar Pundalik</dc:creator>
  <cp:lastModifiedBy>Nihar Pundalik</cp:lastModifiedBy>
  <dcterms:created xsi:type="dcterms:W3CDTF">2025-12-18T15:38:29Z</dcterms:created>
  <dcterms:modified xsi:type="dcterms:W3CDTF">2026-03-16T22:09:54Z</dcterms:modified>
</cp:coreProperties>
</file>